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E:\OneDrive\sig-aca-teach\Data_BP\"/>
    </mc:Choice>
  </mc:AlternateContent>
  <xr:revisionPtr revIDLastSave="0" documentId="10_ncr:100000_{440E92C7-DB8E-4B84-9585-E957A8FD1107}" xr6:coauthVersionLast="31" xr6:coauthVersionMax="31" xr10:uidLastSave="{00000000-0000-0000-0000-000000000000}"/>
  <bookViews>
    <workbookView xWindow="0" yWindow="0" windowWidth="38400" windowHeight="17292" tabRatio="694" xr2:uid="{00000000-000D-0000-FFFF-FFFF00000000}"/>
  </bookViews>
  <sheets>
    <sheet name="Ing statnice jun 2018" sheetId="8" r:id="rId1"/>
    <sheet name="Parametre_2018" sheetId="12" r:id="rId2"/>
    <sheet name="Ing statnice jun 2018 zaver" sheetId="10" r:id="rId3"/>
    <sheet name="Ing statnice jun 2018 komisie " sheetId="11" r:id="rId4"/>
    <sheet name="Obhajoba - sumár" sheetId="9" r:id="rId5"/>
  </sheets>
  <definedNames>
    <definedName name="_xlnm._FilterDatabase" localSheetId="0" hidden="1">'Ing statnice jun 2018'!$A$3:$AF$121</definedName>
  </definedNames>
  <calcPr calcId="179017"/>
  <fileRecoveryPr autoRecover="0"/>
</workbook>
</file>

<file path=xl/calcChain.xml><?xml version="1.0" encoding="utf-8"?>
<calcChain xmlns="http://schemas.openxmlformats.org/spreadsheetml/2006/main">
  <c r="B8" i="9" l="1"/>
  <c r="B7" i="9"/>
  <c r="B6" i="9"/>
  <c r="B5" i="9"/>
  <c r="B4" i="9"/>
  <c r="B3" i="9"/>
  <c r="B2" i="9"/>
  <c r="B10" i="9" l="1"/>
  <c r="C4" i="9" s="1"/>
  <c r="C5" i="9" l="1"/>
  <c r="C7" i="9"/>
  <c r="C3" i="9"/>
  <c r="C2" i="9"/>
  <c r="C6" i="9"/>
  <c r="C9" i="9"/>
  <c r="C8" i="9"/>
  <c r="D10" i="9"/>
  <c r="E9" i="9" s="1"/>
  <c r="E3" i="9" l="1"/>
  <c r="E8" i="9"/>
  <c r="E4" i="9"/>
  <c r="E6" i="9"/>
  <c r="E2" i="9"/>
  <c r="E7" i="9"/>
  <c r="E5" i="9"/>
  <c r="Y85" i="8" l="1"/>
  <c r="Y29" i="8"/>
  <c r="Y66" i="8"/>
  <c r="Y62" i="8"/>
  <c r="Y110" i="8"/>
  <c r="Y14" i="8"/>
  <c r="Y78" i="8"/>
  <c r="Y53" i="8"/>
  <c r="Y108" i="8"/>
  <c r="Y30" i="8"/>
  <c r="Y95" i="8"/>
  <c r="Y23" i="8"/>
  <c r="Y102" i="8"/>
  <c r="Y9" i="8"/>
  <c r="Y91" i="8"/>
  <c r="Y22" i="8"/>
  <c r="Y94" i="8"/>
  <c r="Y98" i="8"/>
  <c r="Y80" i="8"/>
  <c r="Y76" i="8"/>
  <c r="Y113" i="8"/>
  <c r="Y63" i="8"/>
  <c r="Y86" i="8"/>
  <c r="Y28" i="8"/>
  <c r="Y16" i="8"/>
  <c r="Y73" i="8"/>
  <c r="Y118" i="8"/>
  <c r="Y74" i="8"/>
  <c r="Y89" i="8"/>
  <c r="Y68" i="8"/>
  <c r="Y71" i="8"/>
  <c r="Y60" i="8"/>
  <c r="Y72" i="8"/>
  <c r="Y21" i="8"/>
  <c r="Y101" i="8"/>
  <c r="Y36" i="8"/>
  <c r="Y84" i="8"/>
  <c r="Y57" i="8"/>
  <c r="Y34" i="8"/>
  <c r="Y88" i="8"/>
  <c r="Y83" i="8"/>
  <c r="Y13" i="8"/>
  <c r="Y11" i="8"/>
  <c r="Y46" i="8"/>
  <c r="Y19" i="8"/>
  <c r="Y59" i="8"/>
  <c r="Y52" i="8"/>
  <c r="Y17" i="8"/>
  <c r="Y8" i="8"/>
  <c r="Y112" i="8"/>
  <c r="Y97" i="8"/>
  <c r="Y61" i="8"/>
  <c r="Y43" i="8"/>
  <c r="Y32" i="8"/>
  <c r="Y49" i="8"/>
  <c r="Y75" i="8"/>
  <c r="Y104" i="8"/>
  <c r="Y10" i="8"/>
  <c r="Y105" i="8"/>
  <c r="Y18" i="8"/>
  <c r="Y67" i="8"/>
  <c r="Y24" i="8"/>
  <c r="Y82" i="8"/>
  <c r="Y33" i="8"/>
  <c r="Y15" i="8"/>
  <c r="Y121" i="8"/>
  <c r="Y109" i="8"/>
  <c r="Y54" i="8"/>
  <c r="Y48" i="8"/>
  <c r="Y20" i="8"/>
  <c r="Y31" i="8"/>
  <c r="Y117" i="8"/>
  <c r="AB85" i="8"/>
  <c r="AB29" i="8"/>
  <c r="AB66" i="8"/>
  <c r="AB62" i="8"/>
  <c r="U62" i="8" s="1"/>
  <c r="AB110" i="8"/>
  <c r="AB14" i="8"/>
  <c r="AB78" i="8"/>
  <c r="AB53" i="8"/>
  <c r="U53" i="8" s="1"/>
  <c r="AB108" i="8"/>
  <c r="U108" i="8" s="1"/>
  <c r="AB30" i="8"/>
  <c r="AB95" i="8"/>
  <c r="AB23" i="8"/>
  <c r="U23" i="8" s="1"/>
  <c r="AB102" i="8"/>
  <c r="U102" i="8" s="1"/>
  <c r="AB9" i="8"/>
  <c r="AB91" i="8"/>
  <c r="AB22" i="8"/>
  <c r="U22" i="8" s="1"/>
  <c r="AB94" i="8"/>
  <c r="U94" i="8" s="1"/>
  <c r="AB98" i="8"/>
  <c r="AB80" i="8"/>
  <c r="AB76" i="8"/>
  <c r="U76" i="8" s="1"/>
  <c r="AB113" i="8"/>
  <c r="U113" i="8" s="1"/>
  <c r="AB63" i="8"/>
  <c r="AB86" i="8"/>
  <c r="AB28" i="8"/>
  <c r="AB16" i="8"/>
  <c r="AB73" i="8"/>
  <c r="AB118" i="8"/>
  <c r="AB74" i="8"/>
  <c r="U74" i="8" s="1"/>
  <c r="AB89" i="8"/>
  <c r="AB68" i="8"/>
  <c r="U68" i="8" s="1"/>
  <c r="AB71" i="8"/>
  <c r="AB60" i="8"/>
  <c r="U60" i="8" s="1"/>
  <c r="AB72" i="8"/>
  <c r="U72" i="8" s="1"/>
  <c r="AB21" i="8"/>
  <c r="AB101" i="8"/>
  <c r="AB36" i="8"/>
  <c r="U36" i="8" s="1"/>
  <c r="AB84" i="8"/>
  <c r="U84" i="8" s="1"/>
  <c r="AB57" i="8"/>
  <c r="AB34" i="8"/>
  <c r="AB88" i="8"/>
  <c r="AB83" i="8"/>
  <c r="U83" i="8" s="1"/>
  <c r="AB13" i="8"/>
  <c r="AB11" i="8"/>
  <c r="AB46" i="8"/>
  <c r="U46" i="8" s="1"/>
  <c r="AB19" i="8"/>
  <c r="AB59" i="8"/>
  <c r="U59" i="8" s="1"/>
  <c r="AB52" i="8"/>
  <c r="AB17" i="8"/>
  <c r="AB8" i="8"/>
  <c r="U8" i="8" s="1"/>
  <c r="AB112" i="8"/>
  <c r="AB97" i="8"/>
  <c r="AB61" i="8"/>
  <c r="AB43" i="8"/>
  <c r="U43" i="8" s="1"/>
  <c r="AB32" i="8"/>
  <c r="AB49" i="8"/>
  <c r="AB75" i="8"/>
  <c r="U75" i="8" s="1"/>
  <c r="AB104" i="8"/>
  <c r="U104" i="8" s="1"/>
  <c r="AB10" i="8"/>
  <c r="AB105" i="8"/>
  <c r="AB18" i="8"/>
  <c r="U18" i="8" s="1"/>
  <c r="AB67" i="8"/>
  <c r="AB24" i="8"/>
  <c r="AB82" i="8"/>
  <c r="AB33" i="8"/>
  <c r="U33" i="8" s="1"/>
  <c r="AB15" i="8"/>
  <c r="U15" i="8" s="1"/>
  <c r="AB121" i="8"/>
  <c r="AB109" i="8"/>
  <c r="AB54" i="8"/>
  <c r="U54" i="8" s="1"/>
  <c r="AB48" i="8"/>
  <c r="U48" i="8" s="1"/>
  <c r="AB20" i="8"/>
  <c r="AB31" i="8"/>
  <c r="AB117" i="8"/>
  <c r="U117" i="8" s="1"/>
  <c r="AB5" i="8"/>
  <c r="AB42" i="8"/>
  <c r="AB106" i="8"/>
  <c r="AB56" i="8"/>
  <c r="AB64" i="8"/>
  <c r="AB40" i="8"/>
  <c r="AB35" i="8"/>
  <c r="AB79" i="8"/>
  <c r="AB37" i="8"/>
  <c r="AB4" i="8"/>
  <c r="U89" i="8" l="1"/>
  <c r="U110" i="8"/>
  <c r="U14" i="8"/>
  <c r="U9" i="8"/>
  <c r="U61" i="8"/>
  <c r="U67" i="8"/>
  <c r="U88" i="8"/>
  <c r="U121" i="8"/>
  <c r="U32" i="8"/>
  <c r="U73" i="8"/>
  <c r="U63" i="8"/>
  <c r="U31" i="8"/>
  <c r="U82" i="8"/>
  <c r="U112" i="8"/>
  <c r="U57" i="8"/>
  <c r="U98" i="8"/>
  <c r="U30" i="8"/>
  <c r="U49" i="8"/>
  <c r="U118" i="8"/>
  <c r="U97" i="8"/>
  <c r="U91" i="8"/>
  <c r="U95" i="8"/>
  <c r="U52" i="8"/>
  <c r="U34" i="8"/>
  <c r="U86" i="8"/>
  <c r="U80" i="8"/>
  <c r="U78" i="8"/>
  <c r="U109" i="8"/>
  <c r="U105" i="8"/>
  <c r="U71" i="8"/>
  <c r="U66" i="8"/>
  <c r="U28" i="8"/>
  <c r="U11" i="8"/>
  <c r="U101" i="8"/>
  <c r="U20" i="8"/>
  <c r="U24" i="8"/>
  <c r="U10" i="8"/>
  <c r="U13" i="8"/>
  <c r="U21" i="8"/>
  <c r="U29" i="8"/>
  <c r="U19" i="8"/>
  <c r="U16" i="8"/>
  <c r="U85" i="8"/>
  <c r="U17" i="8"/>
  <c r="I3" i="9"/>
  <c r="I4" i="9"/>
  <c r="I5" i="9"/>
  <c r="I6" i="9"/>
  <c r="I7" i="9"/>
  <c r="I8" i="9"/>
  <c r="I2" i="9"/>
  <c r="F10" i="9"/>
  <c r="G4" i="9" s="1"/>
  <c r="G7" i="9" l="1"/>
  <c r="G3" i="9"/>
  <c r="G2" i="9"/>
  <c r="G6" i="9"/>
  <c r="G9" i="9"/>
  <c r="G5" i="9"/>
  <c r="G8" i="9"/>
  <c r="B8" i="12"/>
  <c r="C8" i="12"/>
  <c r="D8" i="12"/>
  <c r="H8" i="12"/>
  <c r="I8" i="12"/>
  <c r="J8" i="12"/>
  <c r="M8" i="12"/>
  <c r="N8" i="12"/>
  <c r="O8" i="12"/>
  <c r="P8" i="12"/>
  <c r="B9" i="12"/>
  <c r="C9" i="12"/>
  <c r="D9" i="12"/>
  <c r="H9" i="12"/>
  <c r="I9" i="12"/>
  <c r="M9" i="12"/>
  <c r="N9" i="12"/>
  <c r="O9" i="12"/>
  <c r="P9" i="12"/>
  <c r="Y65" i="8"/>
  <c r="Y81" i="8"/>
  <c r="Y69" i="8"/>
  <c r="Y115" i="8"/>
  <c r="Y25" i="8"/>
  <c r="Y26" i="8"/>
  <c r="Y92" i="8"/>
  <c r="Y7" i="8"/>
  <c r="Y96" i="8"/>
  <c r="Y58" i="8"/>
  <c r="Y44" i="8"/>
  <c r="Y116" i="8"/>
  <c r="Y77" i="8"/>
  <c r="Y107" i="8"/>
  <c r="Y114" i="8"/>
  <c r="Y111" i="8"/>
  <c r="Y90" i="8"/>
  <c r="Y87" i="8"/>
  <c r="Y45" i="8"/>
  <c r="Y47" i="8"/>
  <c r="Y55" i="8"/>
  <c r="Y103" i="8"/>
  <c r="Y12" i="8"/>
  <c r="Y38" i="8"/>
  <c r="Y6" i="8"/>
  <c r="Y119" i="8"/>
  <c r="Y100" i="8"/>
  <c r="Y50" i="8"/>
  <c r="Y39" i="8"/>
  <c r="Y99" i="8"/>
  <c r="Y41" i="8"/>
  <c r="Y70" i="8"/>
  <c r="Y51" i="8"/>
  <c r="Y27" i="8"/>
  <c r="Y4" i="8"/>
  <c r="Y93" i="8"/>
  <c r="Y37" i="8"/>
  <c r="Y79" i="8"/>
  <c r="Y35" i="8"/>
  <c r="Y40" i="8"/>
  <c r="Y64" i="8"/>
  <c r="Y56" i="8"/>
  <c r="Y106" i="8"/>
  <c r="Y42" i="8"/>
  <c r="Y5" i="8"/>
  <c r="Y120" i="8"/>
  <c r="U5" i="8" l="1"/>
  <c r="G5" i="10"/>
  <c r="U4" i="8"/>
  <c r="G4" i="10"/>
  <c r="J4" i="10"/>
  <c r="H4" i="10"/>
  <c r="AB65" i="8"/>
  <c r="U65" i="8" s="1"/>
  <c r="AB81" i="8"/>
  <c r="U81" i="8" s="1"/>
  <c r="AB69" i="8"/>
  <c r="U69" i="8" s="1"/>
  <c r="AB115" i="8"/>
  <c r="U115" i="8" s="1"/>
  <c r="AB25" i="8"/>
  <c r="U25" i="8" s="1"/>
  <c r="AB26" i="8"/>
  <c r="U26" i="8" s="1"/>
  <c r="AB92" i="8"/>
  <c r="U92" i="8" s="1"/>
  <c r="AB7" i="8"/>
  <c r="U7" i="8" s="1"/>
  <c r="AB96" i="8"/>
  <c r="U96" i="8" s="1"/>
  <c r="AB58" i="8"/>
  <c r="U58" i="8" s="1"/>
  <c r="AB44" i="8"/>
  <c r="U44" i="8" s="1"/>
  <c r="AB116" i="8"/>
  <c r="U116" i="8" s="1"/>
  <c r="AB77" i="8"/>
  <c r="U77" i="8" s="1"/>
  <c r="AB107" i="8"/>
  <c r="U107" i="8" s="1"/>
  <c r="AB114" i="8"/>
  <c r="AB111" i="8"/>
  <c r="AB90" i="8"/>
  <c r="AB87" i="8"/>
  <c r="U87" i="8" s="1"/>
  <c r="AB45" i="8"/>
  <c r="U45" i="8" s="1"/>
  <c r="AB47" i="8"/>
  <c r="U47" i="8" s="1"/>
  <c r="AB55" i="8"/>
  <c r="U55" i="8" s="1"/>
  <c r="AB103" i="8"/>
  <c r="AB12" i="8"/>
  <c r="U12" i="8" s="1"/>
  <c r="AB38" i="8"/>
  <c r="U38" i="8" s="1"/>
  <c r="AB6" i="8"/>
  <c r="U6" i="8" s="1"/>
  <c r="AB119" i="8"/>
  <c r="U119" i="8" s="1"/>
  <c r="AB100" i="8"/>
  <c r="U100" i="8" s="1"/>
  <c r="AB50" i="8"/>
  <c r="U50" i="8" s="1"/>
  <c r="AB39" i="8"/>
  <c r="AB99" i="8"/>
  <c r="AB41" i="8"/>
  <c r="AB70" i="8"/>
  <c r="AB51" i="8"/>
  <c r="AB27" i="8"/>
  <c r="AB93" i="8"/>
  <c r="AB120" i="8"/>
  <c r="U120" i="8" s="1"/>
  <c r="M5" i="10" l="1"/>
  <c r="U7" i="10"/>
  <c r="U6" i="10"/>
  <c r="U5" i="10"/>
  <c r="U4" i="10"/>
  <c r="V7" i="10"/>
  <c r="V6" i="10"/>
  <c r="V5" i="10"/>
  <c r="E5" i="10"/>
  <c r="E4" i="10"/>
  <c r="V4" i="10"/>
  <c r="V8" i="10" l="1"/>
  <c r="U8" i="10"/>
  <c r="L5" i="10"/>
  <c r="K5" i="10"/>
  <c r="K4" i="10"/>
  <c r="J5" i="10"/>
  <c r="I5" i="10"/>
  <c r="I4" i="10"/>
  <c r="H5" i="10"/>
  <c r="U114" i="8"/>
  <c r="U111" i="8"/>
  <c r="U90" i="8"/>
  <c r="U103" i="8"/>
  <c r="U39" i="8"/>
  <c r="U99" i="8"/>
  <c r="U41" i="8"/>
  <c r="U70" i="8"/>
  <c r="U51" i="8"/>
  <c r="U27" i="8"/>
  <c r="U93" i="8"/>
  <c r="U37" i="8"/>
  <c r="U79" i="8"/>
  <c r="U35" i="8"/>
  <c r="U40" i="8"/>
  <c r="U64" i="8"/>
  <c r="U56" i="8"/>
  <c r="U106" i="8"/>
  <c r="U42" i="8"/>
  <c r="N6" i="10"/>
  <c r="O6" i="10"/>
  <c r="I6" i="10" l="1"/>
  <c r="F5" i="10"/>
  <c r="L4" i="10"/>
  <c r="L6" i="10" s="1"/>
  <c r="M4" i="10"/>
  <c r="M6" i="10" s="1"/>
  <c r="F4" i="10"/>
  <c r="J6" i="10"/>
  <c r="K6" i="10"/>
  <c r="H6" i="10"/>
  <c r="G6" i="10"/>
  <c r="W8" i="10"/>
  <c r="W7" i="10"/>
  <c r="W6" i="10"/>
  <c r="E6" i="10"/>
  <c r="W5" i="10"/>
  <c r="P5" i="10"/>
  <c r="W4" i="10"/>
  <c r="P4" i="10" l="1"/>
  <c r="P6" i="10" s="1"/>
  <c r="F6" i="10"/>
  <c r="F66" i="9"/>
  <c r="G65" i="9" l="1"/>
  <c r="G60" i="9"/>
  <c r="G64" i="9"/>
  <c r="G61" i="9"/>
  <c r="G63" i="9"/>
  <c r="G62" i="9"/>
  <c r="G5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Simko</author>
  </authors>
  <commentList>
    <comment ref="B3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38"/>
          </rPr>
          <t>Simko:</t>
        </r>
        <r>
          <rPr>
            <sz val="9"/>
            <color indexed="81"/>
            <rFont val="Tahoma"/>
            <family val="2"/>
            <charset val="238"/>
          </rPr>
          <t xml:space="preserve">
NEKONČIA v akad.roku 2015/16  - nevyhoveli na štátnej skúške alebo v predmete</t>
        </r>
      </text>
    </comment>
  </commentList>
</comments>
</file>

<file path=xl/sharedStrings.xml><?xml version="1.0" encoding="utf-8"?>
<sst xmlns="http://schemas.openxmlformats.org/spreadsheetml/2006/main" count="1817" uniqueCount="553">
  <si>
    <t>ŠS  opravný termín</t>
  </si>
  <si>
    <t>názov diplomovej práce</t>
  </si>
  <si>
    <t>Komisia č.</t>
  </si>
  <si>
    <t>tajomník</t>
  </si>
  <si>
    <t>Dátum ŠS</t>
  </si>
  <si>
    <t>predseda komisie</t>
  </si>
  <si>
    <t>Por.č.</t>
  </si>
  <si>
    <t>štud.program</t>
  </si>
  <si>
    <t>Záverečné slovo predsedu komisie:</t>
  </si>
  <si>
    <t>oponent</t>
  </si>
  <si>
    <t>komisia</t>
  </si>
  <si>
    <t>DP3 v AJ</t>
  </si>
  <si>
    <t>vedúci</t>
  </si>
  <si>
    <t>hlási sa na PhD.</t>
  </si>
  <si>
    <t>VŠP- za celé inž.štúdium</t>
  </si>
  <si>
    <t>PLD</t>
  </si>
  <si>
    <t>Finálne rozhodnutie</t>
  </si>
  <si>
    <t xml:space="preserve">IS </t>
  </si>
  <si>
    <t>Návrat</t>
  </si>
  <si>
    <t>Bieliková</t>
  </si>
  <si>
    <t>Študijný program</t>
  </si>
  <si>
    <t>Návrhy komisií na ocenenia - len počty</t>
  </si>
  <si>
    <t>Návrhy na ocenenia - druh ocenenia podľa študijných programov</t>
  </si>
  <si>
    <t>spolu návrhy FIIT</t>
  </si>
  <si>
    <t>VŠP max 1,15</t>
  </si>
  <si>
    <t>E</t>
  </si>
  <si>
    <t>Cena "MCL" podľa predpisov pre Inž. štúdium =VŠP do 1,15,  ocenenie  "CL"je v kompetencii FIIT, VŠP môže byť každý rok iné, pre tento rok bolo stanovené VŠP do 1,35.</t>
  </si>
  <si>
    <t>D</t>
  </si>
  <si>
    <r>
      <t xml:space="preserve">potvrdenie IET - </t>
    </r>
    <r>
      <rPr>
        <u/>
        <sz val="9"/>
        <rFont val="Arial"/>
        <family val="2"/>
        <charset val="238"/>
      </rPr>
      <t>kto nie</t>
    </r>
  </si>
  <si>
    <t>Cena dekana</t>
  </si>
  <si>
    <t>počet študentov prihlásených na ŠS</t>
  </si>
  <si>
    <t>počet návrhov na ocenenie</t>
  </si>
  <si>
    <t>Cena UISAV</t>
  </si>
  <si>
    <t>IET Prize</t>
  </si>
  <si>
    <t>Spolu</t>
  </si>
  <si>
    <t xml:space="preserve">SI </t>
  </si>
  <si>
    <t>VŠP ohraničenie  pre potvrdenie IET  nie je,  platí iba jedna podmienka - vykonať štátnu skúšku v riadnom termíne . Kto ju opakuje, nebude mať potvrdenie o akreditácii IET.</t>
  </si>
  <si>
    <t>VŠP napr. 1,30 do 10%</t>
  </si>
  <si>
    <r>
      <t>MCL</t>
    </r>
    <r>
      <rPr>
        <sz val="8"/>
        <color indexed="10"/>
        <rFont val="Arial"/>
        <family val="2"/>
      </rPr>
      <t xml:space="preserve"> (po ukončení skúškového obdobia)</t>
    </r>
  </si>
  <si>
    <r>
      <t xml:space="preserve">CL </t>
    </r>
    <r>
      <rPr>
        <sz val="8"/>
        <color indexed="10"/>
        <rFont val="Arial"/>
        <family val="2"/>
      </rPr>
      <t>(po ukončení skúškového obdobia)</t>
    </r>
  </si>
  <si>
    <t>VŠP- nekompletné za inž.štúdium</t>
  </si>
  <si>
    <t>uzavreté štúdium A/N</t>
  </si>
  <si>
    <t>Burda</t>
  </si>
  <si>
    <t>Vincúr</t>
  </si>
  <si>
    <t>Lucká</t>
  </si>
  <si>
    <t>Ing. Dušan Bernát</t>
  </si>
  <si>
    <t>Ing. Peter Trúchly, PhD.</t>
  </si>
  <si>
    <t>1u-IS</t>
  </si>
  <si>
    <t>Ing. František Kudlačák</t>
  </si>
  <si>
    <t xml:space="preserve"> </t>
  </si>
  <si>
    <t>Bc.</t>
  </si>
  <si>
    <t>Pikuliak</t>
  </si>
  <si>
    <t>Tomáš</t>
  </si>
  <si>
    <t>Loebl</t>
  </si>
  <si>
    <t>Jakub</t>
  </si>
  <si>
    <t>Ondrej</t>
  </si>
  <si>
    <t>Vaško</t>
  </si>
  <si>
    <t>Maroš</t>
  </si>
  <si>
    <t>Priezvisko, meno, titul</t>
  </si>
  <si>
    <t>C</t>
  </si>
  <si>
    <t>B</t>
  </si>
  <si>
    <t>FX</t>
  </si>
  <si>
    <t>A</t>
  </si>
  <si>
    <t>FN</t>
  </si>
  <si>
    <t>nie</t>
  </si>
  <si>
    <t>spolu FIIT: 143/x =  0 %</t>
  </si>
  <si>
    <t>MCL</t>
  </si>
  <si>
    <t>CL</t>
  </si>
  <si>
    <t>IT SPY</t>
  </si>
  <si>
    <t>Návrh - Poradie</t>
  </si>
  <si>
    <t>článok                 IIT SRC
A/N</t>
  </si>
  <si>
    <t>článok iný
A/N</t>
  </si>
  <si>
    <t>Návrh do RŠP</t>
  </si>
  <si>
    <t>Konečné rozhodnutie (RŠP)</t>
  </si>
  <si>
    <t>Ocenenie za prospech
(MCL, CL)</t>
  </si>
  <si>
    <t>Návrh na ocenenie z komisií za prácu
(CR, CD, UI SAV, IET, PLD)</t>
  </si>
  <si>
    <t>Súťaže
(IT SPY, ING CENA)</t>
  </si>
  <si>
    <t>Cena rektora</t>
  </si>
  <si>
    <t>Obhajoba hodnotenie</t>
  </si>
  <si>
    <t>Prospech</t>
  </si>
  <si>
    <t>Ďalšie informácie</t>
  </si>
  <si>
    <t>Návrh - cena akákoľvek</t>
  </si>
  <si>
    <t>Ing Cena</t>
  </si>
  <si>
    <t>Nie horsia znamka ako</t>
  </si>
  <si>
    <t>Hranica</t>
  </si>
  <si>
    <t>Oponent</t>
  </si>
  <si>
    <t>Celkovo</t>
  </si>
  <si>
    <t>Navrh komisie (1-len prve navrhy, 2-vsetky navrhy)</t>
  </si>
  <si>
    <t>Postupne skladanie vzorcov (a-substitucia o vzorec vpravo, b - substitucia z MCL do CL, c - substitucia z MCL do CL aj s kontrolou priemeru)</t>
  </si>
  <si>
    <t>Substitucia</t>
  </si>
  <si>
    <t>Dosadenie</t>
  </si>
  <si>
    <t>Automatický návrh</t>
  </si>
  <si>
    <t>Automatický návrh                      A  / N</t>
  </si>
  <si>
    <t>D-IIS</t>
  </si>
  <si>
    <t>Šimko</t>
  </si>
  <si>
    <t>D-AI</t>
  </si>
  <si>
    <t>Takács</t>
  </si>
  <si>
    <t xml:space="preserve">Komisia č.1s-IS, predseda M.Šimko: </t>
  </si>
  <si>
    <t xml:space="preserve">Komisia č.2s-IS, predseda V.Benešová: </t>
  </si>
  <si>
    <t xml:space="preserve">Komisia č.3s-IS, predseda D.Chudá: </t>
  </si>
  <si>
    <t>Komisia č.4s-SI, predseda P. Návrat:</t>
  </si>
  <si>
    <t>Komisia č.5s-SI, predseda M.Lucká:</t>
  </si>
  <si>
    <t>Komisia č.6s-SI, predseda L.Hudec:</t>
  </si>
  <si>
    <t>Komisia č.7s-SI, predseda P.Kotuliak:</t>
  </si>
  <si>
    <t>Komisia č.8s-SI, predseda T.Krajčovič:</t>
  </si>
  <si>
    <t xml:space="preserve">Komisia č.1u-IS, predseda M.Bieliková: </t>
  </si>
  <si>
    <t>Komisia č.2u-IS, predseda V.Rozinajová:</t>
  </si>
  <si>
    <t xml:space="preserve">Komisia č.3u-IS, predseda D.Chudá: </t>
  </si>
  <si>
    <t>Komisia č.4u-SI, predseda P. Návrat:</t>
  </si>
  <si>
    <t>Komisia č.5u-SI, predseda V.Vranić:</t>
  </si>
  <si>
    <t>Komisia č.6u-SI, predseda I.Polášek:</t>
  </si>
  <si>
    <t>Komisia č.7u-SI, predseda T.Krajčovič:</t>
  </si>
  <si>
    <t>Komisia č.8u-SI, predseda P.Kotuliak:</t>
  </si>
  <si>
    <t>Neodovzdalo</t>
  </si>
  <si>
    <t>X</t>
  </si>
  <si>
    <t>Štátne skúšky,  letný semester 2017/2018 - inžinierske štúdium</t>
  </si>
  <si>
    <t>prof. Ing. Pavol Návrat, PhD.</t>
  </si>
  <si>
    <t>Ing. Róbert Móro, PhD.</t>
  </si>
  <si>
    <t>Ing. Peter Pištek, PhD.</t>
  </si>
  <si>
    <t>Mgr. Peter Laurinec</t>
  </si>
  <si>
    <t>doc. RNDr. Mária Lucká, PhD.</t>
  </si>
  <si>
    <t>doc. Ing. Michal Kompan, PhD.</t>
  </si>
  <si>
    <t>Ing. Tomáš Frťala</t>
  </si>
  <si>
    <t>Ing. Peter Drahoš, PhD.</t>
  </si>
  <si>
    <t>doc. Ing. Vanda Benešová, PhD.</t>
  </si>
  <si>
    <t>doc. Ing. Peter Lacko, PhD.</t>
  </si>
  <si>
    <t>Ing. Karol Rástočný, PhD.</t>
  </si>
  <si>
    <t>doc. Mgr. Daniela Chudá, PhD.</t>
  </si>
  <si>
    <t>Ing. Ivana Hucková</t>
  </si>
  <si>
    <t>Mgr. Alena Martonová, PhD.</t>
  </si>
  <si>
    <t>Ing. Miroslav Blšták</t>
  </si>
  <si>
    <t>Ing. Juraj Brenkuš, PhD.</t>
  </si>
  <si>
    <t>Mgr. Jozef Tvarožek, PhD.</t>
  </si>
  <si>
    <t>doc. Ing. Marián Šimko, PhD.</t>
  </si>
  <si>
    <t>doc. Ing. Tibor Krajčovič, PhD.</t>
  </si>
  <si>
    <t>Ing. Patrik Polatsek</t>
  </si>
  <si>
    <t>Ing. Michal Barla, PhD.</t>
  </si>
  <si>
    <t>Ing. Ondrej Perešíni</t>
  </si>
  <si>
    <t>Ing. Ondrej Kaššák, PhD.</t>
  </si>
  <si>
    <t>Ing. Martin Konôpka</t>
  </si>
  <si>
    <t>Ing. Marcel Baláž, PhD.</t>
  </si>
  <si>
    <t>Ing. Dominik Macko, PhD.</t>
  </si>
  <si>
    <t>prof. Ing. Mária Bieliková, PhD.</t>
  </si>
  <si>
    <t>prof. Ing. Pavel Čičák, PhD.</t>
  </si>
  <si>
    <t>doc. Ing. Ivan Polášek, PhD.</t>
  </si>
  <si>
    <t>Ing. Nadežda Andrejčíková, PhD.</t>
  </si>
  <si>
    <t>Ing. Jozef Filipek</t>
  </si>
  <si>
    <t>Ing. Ján Lang, PhD.</t>
  </si>
  <si>
    <t>Ing. Ján Laštinec, PhD.</t>
  </si>
  <si>
    <t>RNDr. Anna Bou Ezzeddine, PhD.</t>
  </si>
  <si>
    <t>Ing. Jakub Šimko, PhD.</t>
  </si>
  <si>
    <t>Ing. Michal Bystrický</t>
  </si>
  <si>
    <t>Ing. Ivan Srba, PhD.</t>
  </si>
  <si>
    <t>Ing. Peter Kapec, PhD.</t>
  </si>
  <si>
    <t>Ing. Marek Lóderer</t>
  </si>
  <si>
    <t>prof. Ing. Ivan Kotuliak, PhD.</t>
  </si>
  <si>
    <t>Ing. Jakub Ševcech, PhD.</t>
  </si>
  <si>
    <t>Ing. Martin Nagy</t>
  </si>
  <si>
    <t>doc. Ing. Valentino Vranić, PhD.</t>
  </si>
  <si>
    <t>Ing. Marek Jakab</t>
  </si>
  <si>
    <t>Ing. Ivan Kapustík</t>
  </si>
  <si>
    <t>Ing. Juraj Petrík</t>
  </si>
  <si>
    <t>doc. Ing. Viera Rozinajová, PhD.</t>
  </si>
  <si>
    <t>Ing. Peter Krátky, PhD.</t>
  </si>
  <si>
    <t>doc. Ing. Ladislav Hudec, CSc.</t>
  </si>
  <si>
    <t>Ing. Kamil Burda</t>
  </si>
  <si>
    <t>Ing. Eduard Kuric, PhD.</t>
  </si>
  <si>
    <t>Ing. Michal Holub</t>
  </si>
  <si>
    <t>Ing. Gábor Gyepes, PhD.</t>
  </si>
  <si>
    <t>Ing. Ján Lúčanský</t>
  </si>
  <si>
    <t>Ing. Viktor Šulák</t>
  </si>
  <si>
    <t>Ing. Tomáš Kováčik, PhD.</t>
  </si>
  <si>
    <t>Ing. Jaroslav Loebl</t>
  </si>
  <si>
    <t>Ing. Martin Tamajka</t>
  </si>
  <si>
    <t>Ing. Rudolf Grežo</t>
  </si>
  <si>
    <t>Ing. Juraj Vincúr</t>
  </si>
  <si>
    <t>Ing. Petra Vrablecová</t>
  </si>
  <si>
    <t>Ing. Peter Gašpar</t>
  </si>
  <si>
    <t>Ing. Ján Hudec, PhD.</t>
  </si>
  <si>
    <t>Ing. Matúš Pikuliak</t>
  </si>
  <si>
    <t>Ing. Richard Roštecký</t>
  </si>
  <si>
    <t>Ing. Marek Galinski</t>
  </si>
  <si>
    <t>Dr. Ing. Michal Ries</t>
  </si>
  <si>
    <t>Mgr. Irina Malkin Ondik, PhD.</t>
  </si>
  <si>
    <t>Ing. Tomáš Kramár, PhD.</t>
  </si>
  <si>
    <t>Ing. Marián Lekavý, PhD.</t>
  </si>
  <si>
    <t>Ing. Pavol Helebrandt, PhD.</t>
  </si>
  <si>
    <t>Navrhovanie softvérového systému s podporou kontextového odporúčania</t>
  </si>
  <si>
    <t>Predikcia osobnostných charakteristík používateľa na základe riešenia úloh na webe</t>
  </si>
  <si>
    <t>Autentifikácia pomocou biometrie na platforme Android</t>
  </si>
  <si>
    <t>Zhlukovanie veľkých časových radov</t>
  </si>
  <si>
    <t>Modelovanie v prostredí inteligentných sietí</t>
  </si>
  <si>
    <t>Predikcia retencie zákazníkov v online prostredí</t>
  </si>
  <si>
    <t>Aplikovanie organizačných vzorov pri riešení problémov agilného a lean vývoja softvéru</t>
  </si>
  <si>
    <t>Reprezentácia používateľa a interakcia vo virtuálnej realite s dôrazom na pocit vnorenia</t>
  </si>
  <si>
    <t>Spracovanie trojrozmerných medicínskych dát metódami počítačového videnia</t>
  </si>
  <si>
    <t>Predikcia časových radov pomocou hlbokých neurónových sietí</t>
  </si>
  <si>
    <t>Simulácie mobilných komunikačných sietí</t>
  </si>
  <si>
    <t>Regresné testovanie s použitím selekcie a prioritizácie testov</t>
  </si>
  <si>
    <t>Detekcia plagiátorstva v programových kódoch</t>
  </si>
  <si>
    <t>Smart Traffic – inteligentné riadenie premávky</t>
  </si>
  <si>
    <t>Zhlukovanie a vyhľadávanie anomálií vo veľkých dátových súboroch v meteorológii</t>
  </si>
  <si>
    <t>Interaktívna vizualizácia veľkých dát</t>
  </si>
  <si>
    <t>Zjednodušovanie textu</t>
  </si>
  <si>
    <t>Energeticky efektívna implementácia bezpečnostného protokolu pre nízko príkonové zariadenia IoT</t>
  </si>
  <si>
    <t>Personalizované odporúčanie využívajúce vizuálne charakteristiky prvkov</t>
  </si>
  <si>
    <t>Analýza vzorov pohybov očí v závislosti od úlohy vo webovom prostredí</t>
  </si>
  <si>
    <t>Klasifikácia komentárov v komunitách odpovedajúcich na otázky</t>
  </si>
  <si>
    <t>Aplikácia kontroly toku programu na detekciu škodlivého softvéru</t>
  </si>
  <si>
    <t>Súlad medzi softvérovými požiadavkami a zdrojovým kódom</t>
  </si>
  <si>
    <t>Spracovanie veľkých objemov dát získaných športovou aktivitou</t>
  </si>
  <si>
    <t>Vplyv vysoko-úrovňových faktorov na ľudskú vizuálnu pozornosť</t>
  </si>
  <si>
    <t>Identifikovanie charakteristík používateľa využitím analýzy pohľadu</t>
  </si>
  <si>
    <t>Pokročilé spracovanie sekvenčných dát pomocou umelých neurónových sietí</t>
  </si>
  <si>
    <t>Detekcia nevhodných typov príspevkov na webe</t>
  </si>
  <si>
    <t>Vzdialená telemetria pre vozidlá s OBD-II rozhraním</t>
  </si>
  <si>
    <t>Rozpoznávanie podobností správania používateľov v prúde dát</t>
  </si>
  <si>
    <t>Predikcia časových radov použitím hlbokých neurónových sietí</t>
  </si>
  <si>
    <t>Sledovanie pohľadu používateľa použitím metód hlbokého učenia</t>
  </si>
  <si>
    <t>Pravidlá písania zdrojového kódu - nutnosť alebo fetiš?</t>
  </si>
  <si>
    <t>Mobilná aplikácia pre segment zdravotníctva</t>
  </si>
  <si>
    <t>Zefektívnenie komunikácie zariadení Internetu vecí s využitím časových kanálov</t>
  </si>
  <si>
    <t>Modelovanie používateľa v doméne e-obchodu</t>
  </si>
  <si>
    <t>Prediktívny model pre symetrickú hru</t>
  </si>
  <si>
    <t>Určenie podobnosti hry-hrajúcich softvérov</t>
  </si>
  <si>
    <t>Interoperabilita a kompatibilita v heterogénnom M2M prostredí</t>
  </si>
  <si>
    <t>Adaptívna viacfaktorová autentifikácia s dynamikou písania na klávesnici</t>
  </si>
  <si>
    <t>Automatizované refaktorovanie softvérových systémov</t>
  </si>
  <si>
    <t>Refaktorovanie softvérových systémov s multiagentovým prehľadávaním pracovného priestoru</t>
  </si>
  <si>
    <t>Zefektívnenie komunikácie zariadení Internetu vecí zmenou parametrov komunikačného protokolu</t>
  </si>
  <si>
    <t>Identifikácia viacznačnosti entít pomocou ontológií</t>
  </si>
  <si>
    <t>Škálovateľné personalizované odporúčanie</t>
  </si>
  <si>
    <t>Simulácie útočných scenárov v mobilných ad hoc sieťach</t>
  </si>
  <si>
    <t>Zabezpečený smerovací protokol v mobilných ad hoc sieťach</t>
  </si>
  <si>
    <t>Detekcia podobnosti zdrojového kódu na architektúre riadenej komplexnými udalosťami</t>
  </si>
  <si>
    <t>Vyhodnocovanie kognitívnej záťaže ako súčasť používateľských štúdií</t>
  </si>
  <si>
    <t>Analýza škodlivého softvéru pomocou metód kontroly toku programu</t>
  </si>
  <si>
    <t>Zabezpečená komunikácia medzi vozidlami</t>
  </si>
  <si>
    <t>Automatické testovanie a vyhodnocovanie SQL dopytov pri riešení interaktívnych úloh.</t>
  </si>
  <si>
    <t>Veľké dáta v energetike</t>
  </si>
  <si>
    <t>Automatické určovanie miery zvedavosti používateľa na základe jeho správania na webe</t>
  </si>
  <si>
    <t>Rozpoznávanie zaujatia človeka s použitím sekvenčnej analýzy</t>
  </si>
  <si>
    <t>Predikcia ceny elektrickej energie v inteligentných sieťach</t>
  </si>
  <si>
    <t>Identifikácia, kompozícia a konfigurácia existujúcich softvérových komponentov podľa špecifikácie požiadaviek vo forme textu</t>
  </si>
  <si>
    <t>Zabezpečenie robustnosti voči zmenám webových stránok počas extrakcie dát z webu</t>
  </si>
  <si>
    <t>Aspektovo orientovaná analýza sentimentu</t>
  </si>
  <si>
    <t>Model biometrických charakteristík používateľa na smartfónovej platforme</t>
  </si>
  <si>
    <t>Model predikcie ľudskej vizuálnej pozornosti so zameraním na rôzne aspekty vizuálneho vnemu človeka</t>
  </si>
  <si>
    <t>Kolaboratívna vizualizácia dát vo virtuálnej a obohatenej realite</t>
  </si>
  <si>
    <t>Automatizovaný agent pre párové obchodovanie</t>
  </si>
  <si>
    <t>Viacvýznamovosť v sémantickom vyhľadávaní</t>
  </si>
  <si>
    <t>Automatické dopĺňanie chýbajúcej časti trojrozmernej scény</t>
  </si>
  <si>
    <t>Interoperabilita a kompatibilita v heterogénnom komunikačnom prostredí</t>
  </si>
  <si>
    <t>Poskytovanie spätnej väzby v doméne programovania</t>
  </si>
  <si>
    <t>Predikcia spotreby elektrickej energie pomocou učenia súborom metód</t>
  </si>
  <si>
    <t>Platforma pre spracovanie dát z mobilných senzorov v reálnom čase</t>
  </si>
  <si>
    <t>Detekcia anomálií v transakčných údajoch</t>
  </si>
  <si>
    <t>Identifikácia zručnosti používateľa na webe na základe vzorov zo sledovania pohľadu</t>
  </si>
  <si>
    <t>Zhluková analýza dát z cytometrie za účelom identifikácie bunkových populácií</t>
  </si>
  <si>
    <t>Automatické prispôsobovanie herných mechanizmov stavu hráča</t>
  </si>
  <si>
    <t>Redukcia cytometrických dát na základe hustoty a predikcia stavu pacienta z klinických dát</t>
  </si>
  <si>
    <t>Viacrozmerný prepájací model softvéru</t>
  </si>
  <si>
    <t>Detekcia sémantických konfliktov v softvérových modeloch</t>
  </si>
  <si>
    <t>Interaktívna vizualizácia zmien v softvérových modeloch</t>
  </si>
  <si>
    <t>Optimalizácia toku dát v softvérovo definovanej sieti pre viaccestné transportné protokoly</t>
  </si>
  <si>
    <t>Detekcia a rozpoznávanie objektov s využitím 3D senzorov</t>
  </si>
  <si>
    <t>Interoperabilita a kompatibilita v heterogénnom komunikačnom prostredí internetu vecí</t>
  </si>
  <si>
    <t>Vizuálna pozornosť a mapovanie výraznosti na elementy webových stránok</t>
  </si>
  <si>
    <t>Tréningový a ovládací systém pre hráča robotického futbalu</t>
  </si>
  <si>
    <t>Identifikácia vzorov a podobností v dátach z encefalogramu</t>
  </si>
  <si>
    <t>Riadiace algoritmy zamerané na bezpilotné letecké zariadenia</t>
  </si>
  <si>
    <t>Inteligentná analýza dát v prostredí energetiky</t>
  </si>
  <si>
    <t>Optimalizácia spotreby a výroby elektrickej energie</t>
  </si>
  <si>
    <t>Simulátor distribuovaných algoritmov</t>
  </si>
  <si>
    <t>Predpoveď akcie používateľa na základe práce s počítačovou myšou</t>
  </si>
  <si>
    <t>Bezpečná autorizácia prostredníctvom mobilných zariadení</t>
  </si>
  <si>
    <t>Predpoveď počasia pomocou generatívnych súperiacich sietí</t>
  </si>
  <si>
    <t>Automatické získavanie charakteristík používateľa pomocou sledovania pohľadu</t>
  </si>
  <si>
    <t>Simulácia N-Body systémov s ohľadom na silovo riadené zobrazenie grafov</t>
  </si>
  <si>
    <t>Personalizované odporúčanie so zohľadnením vizuálnych vplyvov</t>
  </si>
  <si>
    <t>Segmentovanie používateľov pre personalizáciu informačných bulletinov v CQA systémoch</t>
  </si>
  <si>
    <t>Mapovanie DNA sekvencií</t>
  </si>
  <si>
    <t>Identifikácia používateľa pri práci s mobilným zariadením na základe biometrických charakteristík</t>
  </si>
  <si>
    <t>Distribuovaný systém v internete vecí zameraný na energetickú efektivitu</t>
  </si>
  <si>
    <t>Personalizácia vyhľadávania s použitím sledovania pohľadu pre lepšie určovanie dopytov</t>
  </si>
  <si>
    <t>Identifikácia problémov použiteľnosti na Webe z údajov pohľadu používateľa</t>
  </si>
  <si>
    <t>Vyhodnotenie orientácie na stránke a určenie typu návštevníka na základe práce s myšou</t>
  </si>
  <si>
    <t>Generovanie nadpisov kategórií textových dokumentov</t>
  </si>
  <si>
    <t>Zber a vizualizácia dát zo senzorových systémov</t>
  </si>
  <si>
    <t>Podpora diverzity a aktuálnosti informačných bulletinov v systéme pre odpovedanie na otázky</t>
  </si>
  <si>
    <t>Vizualizácia softvéru v 3D priestore</t>
  </si>
  <si>
    <t>Modelovanie vhodnosti textových príspevkov</t>
  </si>
  <si>
    <t>Rozhodovanie hráča simulovaného robotického futbalu</t>
  </si>
  <si>
    <t>Predikcia parametrov sieťovej premávky v softvérovo definovaných sieťach</t>
  </si>
  <si>
    <t>Využitie internetu vecí v koncepte inteligentného mesta</t>
  </si>
  <si>
    <t>Ochrana aplikačných programov pred škodlivým softvérom</t>
  </si>
  <si>
    <t>Zvýšenie bezpečnosti webových systémov mechanizmom pasce na útočníka</t>
  </si>
  <si>
    <t>Spracovanie dát zo senzorových systémov v oblasti športu</t>
  </si>
  <si>
    <t>Automatická zmena pozície bezdrôtových lietajúcich zariadení na základe dynamických zmien v komunikačnej sieti</t>
  </si>
  <si>
    <t>Automatická identifikácia problémov použiteľnosti na Webe z údajov pohľadu používateľa</t>
  </si>
  <si>
    <t>Bezpečný prenos údajov kanálom reproduktor-mikrofón pri dvojfaktorovej autentifikácii</t>
  </si>
  <si>
    <t>Analýza sentimentu názoru na zadaný objekt z textu</t>
  </si>
  <si>
    <t>Modelovanie a generovanie učebného obsahu</t>
  </si>
  <si>
    <t>Pohľady na softvér podľa tokov cez stránky</t>
  </si>
  <si>
    <t>Vplyv pachov na zrozumiteľnosť zdrojového kódu</t>
  </si>
  <si>
    <t>Adamko</t>
  </si>
  <si>
    <t>Marko</t>
  </si>
  <si>
    <t>Balážová</t>
  </si>
  <si>
    <t>Veronika</t>
  </si>
  <si>
    <t>Baránek</t>
  </si>
  <si>
    <t>Belai</t>
  </si>
  <si>
    <t>Peter</t>
  </si>
  <si>
    <t>Bendík</t>
  </si>
  <si>
    <t>Berger</t>
  </si>
  <si>
    <t>Patrik</t>
  </si>
  <si>
    <t>Blaško</t>
  </si>
  <si>
    <t>Adam</t>
  </si>
  <si>
    <t>Blažíček</t>
  </si>
  <si>
    <t>Jozef</t>
  </si>
  <si>
    <t>Bobotová</t>
  </si>
  <si>
    <t>Zuzana</t>
  </si>
  <si>
    <t>Bobovský</t>
  </si>
  <si>
    <t>Brechtl</t>
  </si>
  <si>
    <t>Ján</t>
  </si>
  <si>
    <t>Bruchatý</t>
  </si>
  <si>
    <t>Marek</t>
  </si>
  <si>
    <t>Buček</t>
  </si>
  <si>
    <t>Boris</t>
  </si>
  <si>
    <t>Buhaj</t>
  </si>
  <si>
    <t>Dávid</t>
  </si>
  <si>
    <t>Bujna</t>
  </si>
  <si>
    <t>Erik</t>
  </si>
  <si>
    <t>Bystričan</t>
  </si>
  <si>
    <t>Július</t>
  </si>
  <si>
    <t>Cvíčela</t>
  </si>
  <si>
    <t>Martin</t>
  </si>
  <si>
    <t>Černák</t>
  </si>
  <si>
    <t>David</t>
  </si>
  <si>
    <t>Červenka</t>
  </si>
  <si>
    <t>Matej</t>
  </si>
  <si>
    <t>Čičkán</t>
  </si>
  <si>
    <t>Číkoš</t>
  </si>
  <si>
    <t>Daabousová</t>
  </si>
  <si>
    <t>Rania</t>
  </si>
  <si>
    <t>Danišik</t>
  </si>
  <si>
    <t>Norbert</t>
  </si>
  <si>
    <t>Dekrét</t>
  </si>
  <si>
    <t>Šimon</t>
  </si>
  <si>
    <t>Dragúňová</t>
  </si>
  <si>
    <t>Mária</t>
  </si>
  <si>
    <t>Fašánek</t>
  </si>
  <si>
    <t>Michal</t>
  </si>
  <si>
    <t>Filipčiková</t>
  </si>
  <si>
    <t>Monika</t>
  </si>
  <si>
    <t>Findura</t>
  </si>
  <si>
    <t>Flamík</t>
  </si>
  <si>
    <t>Juraj</t>
  </si>
  <si>
    <t>Frkáň</t>
  </si>
  <si>
    <t>Gajdošík</t>
  </si>
  <si>
    <t>Gáspár</t>
  </si>
  <si>
    <t>Matúš</t>
  </si>
  <si>
    <t>Ginter</t>
  </si>
  <si>
    <t>Gočal</t>
  </si>
  <si>
    <t>Pavol</t>
  </si>
  <si>
    <t>Gondová</t>
  </si>
  <si>
    <t>Grošaft</t>
  </si>
  <si>
    <t>Gulis</t>
  </si>
  <si>
    <t>Ivan</t>
  </si>
  <si>
    <t>Guráň</t>
  </si>
  <si>
    <t>Hagara</t>
  </si>
  <si>
    <t>Lukáš</t>
  </si>
  <si>
    <t>Hamacek</t>
  </si>
  <si>
    <t>Haščič</t>
  </si>
  <si>
    <t>Miroslav</t>
  </si>
  <si>
    <t>Hatvani</t>
  </si>
  <si>
    <t>Dušan</t>
  </si>
  <si>
    <t>Hnojčík</t>
  </si>
  <si>
    <t>Hunka</t>
  </si>
  <si>
    <t>Mário</t>
  </si>
  <si>
    <t>Ilavský</t>
  </si>
  <si>
    <t>Janočko</t>
  </si>
  <si>
    <t>Januška</t>
  </si>
  <si>
    <t>Juhaniak</t>
  </si>
  <si>
    <t>Kalužník</t>
  </si>
  <si>
    <t>Keszeli</t>
  </si>
  <si>
    <t>Kislan</t>
  </si>
  <si>
    <t>Kmeťko</t>
  </si>
  <si>
    <t>Kostova</t>
  </si>
  <si>
    <t>Sandra</t>
  </si>
  <si>
    <t>Košťan</t>
  </si>
  <si>
    <t>Viktor</t>
  </si>
  <si>
    <t>Kovalenko</t>
  </si>
  <si>
    <t>Maryna</t>
  </si>
  <si>
    <t>Kráľ</t>
  </si>
  <si>
    <t>Kren</t>
  </si>
  <si>
    <t>Krchňavý</t>
  </si>
  <si>
    <t>Rastislav</t>
  </si>
  <si>
    <t>Kučera</t>
  </si>
  <si>
    <t>Laco</t>
  </si>
  <si>
    <t>Lang</t>
  </si>
  <si>
    <t>Roland</t>
  </si>
  <si>
    <t>Leško</t>
  </si>
  <si>
    <t>Liščák</t>
  </si>
  <si>
    <t>Makan</t>
  </si>
  <si>
    <t>Branislav</t>
  </si>
  <si>
    <t>Mastiľak</t>
  </si>
  <si>
    <t>Matlovič</t>
  </si>
  <si>
    <t>Matula</t>
  </si>
  <si>
    <t>Michálek</t>
  </si>
  <si>
    <t>Mocko</t>
  </si>
  <si>
    <t>Mokrý</t>
  </si>
  <si>
    <t>Moravčík</t>
  </si>
  <si>
    <t>Oliver</t>
  </si>
  <si>
    <t>Moravčíková</t>
  </si>
  <si>
    <t>Zora</t>
  </si>
  <si>
    <t>Nemček</t>
  </si>
  <si>
    <t>Neupauer</t>
  </si>
  <si>
    <t>Olejár</t>
  </si>
  <si>
    <t>Ondik</t>
  </si>
  <si>
    <t>Oravský</t>
  </si>
  <si>
    <t>Pallo</t>
  </si>
  <si>
    <t>Miloš</t>
  </si>
  <si>
    <t>Pánis</t>
  </si>
  <si>
    <t>Papp</t>
  </si>
  <si>
    <t>Dániel</t>
  </si>
  <si>
    <t>Pastorek</t>
  </si>
  <si>
    <t>Richard</t>
  </si>
  <si>
    <t>Pavlíková</t>
  </si>
  <si>
    <t>Barbora</t>
  </si>
  <si>
    <t>Pisarovič</t>
  </si>
  <si>
    <t>Dominik</t>
  </si>
  <si>
    <t>Pomffyová</t>
  </si>
  <si>
    <t>Miriama</t>
  </si>
  <si>
    <t>Prekala</t>
  </si>
  <si>
    <t>Puk</t>
  </si>
  <si>
    <t>Rác</t>
  </si>
  <si>
    <t>Račko</t>
  </si>
  <si>
    <t>Rafajdus</t>
  </si>
  <si>
    <t>Redajová</t>
  </si>
  <si>
    <t>Martina</t>
  </si>
  <si>
    <t>Roba</t>
  </si>
  <si>
    <t>Roman</t>
  </si>
  <si>
    <t>Roštár</t>
  </si>
  <si>
    <t>Salát</t>
  </si>
  <si>
    <t>Sitarčík</t>
  </si>
  <si>
    <t>Slovík</t>
  </si>
  <si>
    <t>Sokolík</t>
  </si>
  <si>
    <t>Šandor</t>
  </si>
  <si>
    <t>Filip</t>
  </si>
  <si>
    <t>Šidlo</t>
  </si>
  <si>
    <t>Šimek</t>
  </si>
  <si>
    <t>Igor</t>
  </si>
  <si>
    <t>Škultéty</t>
  </si>
  <si>
    <t>Šrank</t>
  </si>
  <si>
    <t>Štefčák</t>
  </si>
  <si>
    <t>Švec</t>
  </si>
  <si>
    <t>Andrej</t>
  </si>
  <si>
    <t>Tóth</t>
  </si>
  <si>
    <t>Jaroslav</t>
  </si>
  <si>
    <t>Urban</t>
  </si>
  <si>
    <t>Vaculčiak</t>
  </si>
  <si>
    <t>Vantuch</t>
  </si>
  <si>
    <t>Visokai</t>
  </si>
  <si>
    <t>Víťaz</t>
  </si>
  <si>
    <t>Vlček</t>
  </si>
  <si>
    <t>Vozár</t>
  </si>
  <si>
    <t>Vrban</t>
  </si>
  <si>
    <t>Anton Ján</t>
  </si>
  <si>
    <t>Zaťko</t>
  </si>
  <si>
    <t>Žlnka</t>
  </si>
  <si>
    <t>SI 2</t>
  </si>
  <si>
    <t>IS 2</t>
  </si>
  <si>
    <t>5u-IS</t>
  </si>
  <si>
    <t>2u-SI</t>
  </si>
  <si>
    <t>3u-IS-SI</t>
  </si>
  <si>
    <t>Konôpka</t>
  </si>
  <si>
    <t>Vrablecová</t>
  </si>
  <si>
    <t>4u-IS</t>
  </si>
  <si>
    <t>Rozinajová</t>
  </si>
  <si>
    <t>6u-IS-SI</t>
  </si>
  <si>
    <t>Chudá</t>
  </si>
  <si>
    <t>7u-IS-SI</t>
  </si>
  <si>
    <t>Benešová</t>
  </si>
  <si>
    <t>Hudec</t>
  </si>
  <si>
    <t>8u-IS-SI</t>
  </si>
  <si>
    <t>Kotuliak</t>
  </si>
  <si>
    <t>Doubravský</t>
  </si>
  <si>
    <t>1p-IS</t>
  </si>
  <si>
    <t>Pecár</t>
  </si>
  <si>
    <t>2p-IS-SI</t>
  </si>
  <si>
    <t>Farkaš</t>
  </si>
  <si>
    <t>3p-IS-SI</t>
  </si>
  <si>
    <t>Laurinec</t>
  </si>
  <si>
    <t>4p-IS-SI</t>
  </si>
  <si>
    <t>Gašpar</t>
  </si>
  <si>
    <t>5p-SI</t>
  </si>
  <si>
    <t>Vranič</t>
  </si>
  <si>
    <t>Jarábek</t>
  </si>
  <si>
    <t>6p-IS-SI</t>
  </si>
  <si>
    <t>Petrík</t>
  </si>
  <si>
    <t>7p-IS-SI</t>
  </si>
  <si>
    <t>Marták</t>
  </si>
  <si>
    <t>8p-SI</t>
  </si>
  <si>
    <t>Košťál</t>
  </si>
  <si>
    <t>N</t>
  </si>
  <si>
    <t>Študenti v komisii boli na výbornej ažveľmi dobrej úrovni. Výborne pripravení, ale niektorí slabšie reagovali na všeobecné otázky. Okrem jedného študenta sme mali na každej obhajobe oponenta, čo považujeme za dôležité.</t>
  </si>
  <si>
    <t>Všetky práce mali výskumný chrakter. Úroveň väčšiny prác mohla byť lepšia.</t>
  </si>
  <si>
    <t>Úroveň študentov bola mierne slabšia.</t>
  </si>
  <si>
    <t>V odpovediach na otázky ohľadom teoretických princípov učenia sa vyskytli rezervy.</t>
  </si>
  <si>
    <t>Komisia bola mimoriadne spokojná s úrovňou prác a diskusiou k nim.</t>
  </si>
  <si>
    <t>Študenti prezentovali vlastné práce rôznej úrovne, širšia rozprava bola slabšia  (rôzne úrovne oponentov).</t>
  </si>
  <si>
    <t>Komisia zodpovedne posúdila navrhnuté hodnotenia oponentom, snažila sa rozhodovať čo najspravodlivejšie a niektoré hodnotenia upravila tak, aby celkové hodnotenie bolo konzistentné.</t>
  </si>
  <si>
    <t>Komisia bola sklamaná všeobecným prehľadom študentov v oblasti technológií.</t>
  </si>
  <si>
    <t>Mali sme priemerných študentov. Problém sme mali s tým, že sme nemali v komisii oponenta študenta, ktorý mal hodnotenie E a opakoval obhajobu. Počítač v miestnosti má starý Office, študenti s tým mali problém.</t>
  </si>
  <si>
    <t>Úroveň vedomostí bola rôzna, A boli výborné.</t>
  </si>
  <si>
    <t>Úroveň dnešných študentov bola výborná.</t>
  </si>
  <si>
    <t>Viacerí študenti by potrebovali zlepšiť prácu s literatúrou.</t>
  </si>
  <si>
    <t>Nebýhodou bola neprítomnosť oponentov, ktorí sú dôležitejší pre diskusiu ako vedúci prác. Vhodné by bolo zabezpečiť prezentér. Celková úroveň prác bola mierne nadpriemerná.</t>
  </si>
  <si>
    <t>Rozdielna úroveň výsledkov záverečných prác, často so snahou prínosu nových vedeckých poznatkov.</t>
  </si>
  <si>
    <t>Pozitívne hodnotím úroveň prezentovaných diplomových  prác aj samotných prezentujúcich.</t>
  </si>
  <si>
    <t>Pri všeobecnej rozprave by bolo vhodné na úrovni fakulty synchronizovať minimálne požiadavky kladené na absolventov.</t>
  </si>
  <si>
    <t>119</t>
  </si>
  <si>
    <t>Dulovič</t>
  </si>
  <si>
    <t>A 3x</t>
  </si>
  <si>
    <t>A 2x</t>
  </si>
  <si>
    <t>6s-SI</t>
  </si>
  <si>
    <t>Grežo</t>
  </si>
  <si>
    <t>Zvýšenie bezpečnosti domácich sietí</t>
  </si>
  <si>
    <t>1A</t>
  </si>
  <si>
    <t>1B</t>
  </si>
  <si>
    <t xml:space="preserve">Počíta aj </t>
  </si>
  <si>
    <t>Duloviča</t>
  </si>
  <si>
    <t>(D)</t>
  </si>
  <si>
    <t>CD</t>
  </si>
  <si>
    <t>2(3)</t>
  </si>
  <si>
    <t>CD/UI SAV</t>
  </si>
  <si>
    <t>CD/IET</t>
  </si>
  <si>
    <t>IT Spy</t>
  </si>
  <si>
    <t>CD?</t>
  </si>
  <si>
    <t>CR</t>
  </si>
  <si>
    <t>Technicke vybavenie -- stary pocitac (1), prezenter (1)</t>
  </si>
  <si>
    <t>Slabsia alebo slaba pripravenost na vseobecne otazky (4)</t>
  </si>
  <si>
    <t>Velmi dobra az vyborna uroven prac (3)</t>
  </si>
  <si>
    <t>Priemerna uroven prac (3)</t>
  </si>
  <si>
    <t>Nepritomnost oponenta -&gt; problematickejsie vyhodnotenie obhajoby (3)</t>
  </si>
  <si>
    <t>Slabsia uroven prac (2)</t>
  </si>
  <si>
    <t>Nesynchronizovane minimalne poziadavky pri vseobecnej rozprave (1)</t>
  </si>
  <si>
    <t>V pracach slabsia uroven prace s literaturou (1)</t>
  </si>
  <si>
    <t>IET</t>
  </si>
  <si>
    <t>UI SAV</t>
  </si>
  <si>
    <t>NIE</t>
  </si>
  <si>
    <t>P:LD</t>
  </si>
  <si>
    <t>IT Spy -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</si>
</sst>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49" x14ac:knownFonts="1">
    <font>
      <sz val="10"/>
      <name val="Arial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</font>
    <font>
      <b/>
      <sz val="16"/>
      <name val="Times New Roman"/>
      <family val="1"/>
    </font>
    <font>
      <sz val="10"/>
      <name val="Times New Roman"/>
      <family val="1"/>
    </font>
    <font>
      <sz val="10"/>
      <name val="Times New Roman"/>
      <family val="1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8"/>
      <name val="Arial"/>
      <family val="2"/>
      <charset val="238"/>
    </font>
    <font>
      <b/>
      <sz val="10"/>
      <name val="Times New Roman"/>
      <family val="1"/>
      <charset val="238"/>
    </font>
    <font>
      <sz val="9"/>
      <name val="Arial"/>
      <family val="2"/>
      <charset val="238"/>
    </font>
    <font>
      <sz val="10"/>
      <color indexed="10"/>
      <name val="Arial"/>
      <family val="2"/>
      <charset val="238"/>
    </font>
    <font>
      <sz val="10"/>
      <color indexed="10"/>
      <name val="Times New Roman"/>
      <family val="1"/>
    </font>
    <font>
      <b/>
      <sz val="11"/>
      <name val="Arial Narrow"/>
      <family val="2"/>
      <charset val="238"/>
    </font>
    <font>
      <sz val="9"/>
      <name val="Times New Roman"/>
      <family val="1"/>
    </font>
    <font>
      <sz val="9"/>
      <name val="Times New Roman"/>
      <family val="1"/>
      <charset val="238"/>
    </font>
    <font>
      <u/>
      <sz val="9"/>
      <name val="Arial"/>
      <family val="2"/>
      <charset val="238"/>
    </font>
    <font>
      <sz val="8"/>
      <color indexed="10"/>
      <name val="Arial"/>
      <family val="2"/>
    </font>
    <font>
      <b/>
      <sz val="9"/>
      <name val="Arial Narrow"/>
      <family val="2"/>
      <charset val="238"/>
    </font>
    <font>
      <u/>
      <sz val="10"/>
      <color theme="10"/>
      <name val="Arial CE"/>
      <charset val="238"/>
    </font>
    <font>
      <sz val="10"/>
      <color rgb="FFFF0000"/>
      <name val="Arial"/>
      <family val="2"/>
      <charset val="238"/>
    </font>
    <font>
      <b/>
      <sz val="10"/>
      <color rgb="FFFF0000"/>
      <name val="Times New Roman"/>
      <family val="1"/>
    </font>
    <font>
      <sz val="10"/>
      <color rgb="FFFF0000"/>
      <name val="Arial"/>
      <family val="2"/>
    </font>
    <font>
      <b/>
      <sz val="11"/>
      <color rgb="FFFF0000"/>
      <name val="Arial Narrow"/>
      <family val="2"/>
      <charset val="238"/>
    </font>
    <font>
      <b/>
      <sz val="10"/>
      <color rgb="FFFF0000"/>
      <name val="Arial"/>
      <family val="2"/>
      <charset val="238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  <charset val="238"/>
    </font>
    <font>
      <b/>
      <sz val="16"/>
      <color rgb="FFFF0000"/>
      <name val="Arial"/>
      <family val="2"/>
      <charset val="238"/>
    </font>
    <font>
      <b/>
      <sz val="10"/>
      <color rgb="FFFF0000"/>
      <name val="Arial"/>
      <family val="2"/>
    </font>
    <font>
      <b/>
      <sz val="8"/>
      <color rgb="FFFF0000"/>
      <name val="Arial"/>
      <family val="2"/>
      <charset val="238"/>
    </font>
    <font>
      <sz val="11"/>
      <name val="Times New Roman"/>
      <family val="1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b/>
      <sz val="9"/>
      <name val="Times New Roman"/>
      <family val="1"/>
      <charset val="238"/>
    </font>
    <font>
      <sz val="10"/>
      <color theme="1"/>
      <name val="Arial"/>
      <family val="2"/>
      <charset val="238"/>
    </font>
    <font>
      <sz val="10"/>
      <color theme="1"/>
      <name val="Times New Roman"/>
      <family val="1"/>
      <charset val="238"/>
    </font>
    <font>
      <sz val="10"/>
      <color indexed="10"/>
      <name val="Times New Roman"/>
      <family val="1"/>
      <charset val="238"/>
    </font>
    <font>
      <sz val="9"/>
      <color indexed="10"/>
      <name val="Times New Roman"/>
      <family val="1"/>
      <charset val="238"/>
    </font>
    <font>
      <sz val="11"/>
      <name val="Calibri"/>
      <family val="2"/>
      <charset val="238"/>
    </font>
    <font>
      <sz val="11"/>
      <name val="Calibri"/>
      <family val="2"/>
      <charset val="238"/>
      <scheme val="minor"/>
    </font>
    <font>
      <sz val="9"/>
      <color rgb="FFFF0000"/>
      <name val="Times New Roman"/>
      <family val="1"/>
      <charset val="238"/>
    </font>
    <font>
      <sz val="12"/>
      <name val="Arial Narrow"/>
      <family val="2"/>
      <charset val="238"/>
    </font>
    <font>
      <sz val="16"/>
      <name val="Times New Roman"/>
      <family val="1"/>
    </font>
    <font>
      <sz val="11"/>
      <color rgb="FFFF0000"/>
      <name val="Arial Narrow"/>
      <family val="2"/>
      <charset val="238"/>
    </font>
    <font>
      <sz val="11"/>
      <name val="Arial Narrow"/>
      <family val="2"/>
      <charset val="238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2" fillId="0" borderId="0" applyNumberFormat="0" applyFill="0" applyBorder="0" applyAlignment="0" applyProtection="0"/>
    <xf numFmtId="0" fontId="9" fillId="0" borderId="0"/>
    <xf numFmtId="0" fontId="10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48" fillId="0" borderId="0"/>
    <xf numFmtId="0" fontId="1" fillId="0" borderId="0"/>
    <xf numFmtId="0" fontId="1" fillId="0" borderId="0"/>
  </cellStyleXfs>
  <cellXfs count="334">
    <xf numFmtId="0" fontId="0" fillId="0" borderId="0" xfId="0"/>
    <xf numFmtId="0" fontId="0" fillId="0" borderId="0" xfId="0" applyAlignment="1" applyProtection="1">
      <protection locked="0"/>
    </xf>
    <xf numFmtId="0" fontId="5" fillId="0" borderId="0" xfId="0" applyFont="1" applyAlignment="1" applyProtection="1">
      <protection locked="0"/>
    </xf>
    <xf numFmtId="0" fontId="0" fillId="0" borderId="0" xfId="0" applyFill="1" applyBorder="1" applyAlignment="1" applyProtection="1">
      <protection locked="0"/>
    </xf>
    <xf numFmtId="0" fontId="5" fillId="0" borderId="0" xfId="0" applyFont="1" applyBorder="1" applyAlignment="1" applyProtection="1">
      <protection locked="0"/>
    </xf>
    <xf numFmtId="49" fontId="0" fillId="0" borderId="0" xfId="0" applyNumberFormat="1" applyAlignment="1" applyProtection="1">
      <alignment horizontal="center"/>
      <protection locked="0"/>
    </xf>
    <xf numFmtId="0" fontId="16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11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7" fillId="0" borderId="0" xfId="0" applyFont="1" applyAlignment="1" applyProtection="1">
      <alignment wrapText="1"/>
      <protection locked="0"/>
    </xf>
    <xf numFmtId="0" fontId="7" fillId="0" borderId="0" xfId="0" applyFont="1" applyAlignment="1" applyProtection="1">
      <alignment horizontal="center" wrapText="1"/>
      <protection locked="0"/>
    </xf>
    <xf numFmtId="0" fontId="15" fillId="0" borderId="0" xfId="0" applyFont="1" applyAlignment="1" applyProtection="1">
      <protection locked="0"/>
    </xf>
    <xf numFmtId="0" fontId="14" fillId="0" borderId="0" xfId="0" applyFont="1" applyAlignment="1" applyProtection="1">
      <protection locked="0"/>
    </xf>
    <xf numFmtId="0" fontId="8" fillId="0" borderId="0" xfId="0" applyFont="1" applyAlignment="1" applyProtection="1">
      <protection locked="0"/>
    </xf>
    <xf numFmtId="0" fontId="13" fillId="0" borderId="0" xfId="0" applyFont="1" applyAlignment="1" applyProtection="1">
      <alignment wrapText="1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0" borderId="0" xfId="0" applyFont="1" applyFill="1" applyAlignment="1" applyProtection="1">
      <alignment horizontal="center" wrapText="1"/>
      <protection locked="0"/>
    </xf>
    <xf numFmtId="0" fontId="23" fillId="0" borderId="0" xfId="0" applyFont="1" applyAlignment="1" applyProtection="1">
      <alignment horizontal="center"/>
      <protection locked="0"/>
    </xf>
    <xf numFmtId="0" fontId="23" fillId="0" borderId="0" xfId="0" applyFont="1" applyFill="1" applyBorder="1" applyAlignment="1" applyProtection="1">
      <protection locked="0"/>
    </xf>
    <xf numFmtId="0" fontId="23" fillId="0" borderId="0" xfId="0" applyFont="1" applyAlignment="1" applyProtection="1">
      <protection locked="0"/>
    </xf>
    <xf numFmtId="0" fontId="23" fillId="0" borderId="0" xfId="0" applyFont="1" applyAlignment="1" applyProtection="1">
      <alignment wrapText="1"/>
      <protection locked="0"/>
    </xf>
    <xf numFmtId="0" fontId="25" fillId="0" borderId="0" xfId="0" applyFont="1" applyFill="1" applyBorder="1" applyAlignment="1" applyProtection="1">
      <alignment horizontal="center" wrapText="1"/>
      <protection locked="0"/>
    </xf>
    <xf numFmtId="49" fontId="23" fillId="0" borderId="7" xfId="0" applyNumberFormat="1" applyFont="1" applyFill="1" applyBorder="1" applyAlignment="1" applyProtection="1">
      <alignment horizontal="center" wrapText="1"/>
      <protection locked="0"/>
    </xf>
    <xf numFmtId="0" fontId="26" fillId="0" borderId="0" xfId="0" applyFont="1" applyFill="1" applyBorder="1" applyAlignment="1" applyProtection="1">
      <alignment wrapText="1"/>
      <protection locked="0"/>
    </xf>
    <xf numFmtId="0" fontId="23" fillId="0" borderId="0" xfId="0" applyFont="1" applyFill="1" applyBorder="1" applyAlignment="1" applyProtection="1">
      <alignment horizontal="center" wrapText="1"/>
      <protection locked="0"/>
    </xf>
    <xf numFmtId="0" fontId="23" fillId="0" borderId="0" xfId="0" applyFont="1" applyFill="1" applyAlignment="1" applyProtection="1">
      <alignment horizontal="center"/>
      <protection locked="0"/>
    </xf>
    <xf numFmtId="0" fontId="27" fillId="0" borderId="0" xfId="0" applyFont="1" applyBorder="1" applyAlignment="1" applyProtection="1">
      <alignment horizontal="center" wrapText="1"/>
      <protection locked="0"/>
    </xf>
    <xf numFmtId="0" fontId="23" fillId="0" borderId="0" xfId="0" applyFont="1" applyFill="1" applyAlignment="1" applyProtection="1">
      <protection locked="0"/>
    </xf>
    <xf numFmtId="0" fontId="28" fillId="0" borderId="0" xfId="0" applyFont="1" applyFill="1" applyBorder="1" applyAlignment="1" applyProtection="1">
      <alignment horizontal="center" wrapText="1"/>
      <protection locked="0"/>
    </xf>
    <xf numFmtId="0" fontId="28" fillId="0" borderId="0" xfId="0" applyFont="1" applyFill="1" applyBorder="1" applyAlignment="1" applyProtection="1">
      <alignment wrapText="1"/>
      <protection locked="0"/>
    </xf>
    <xf numFmtId="0" fontId="25" fillId="0" borderId="0" xfId="0" applyFont="1" applyFill="1" applyBorder="1" applyAlignment="1" applyProtection="1">
      <alignment wrapText="1"/>
      <protection locked="0"/>
    </xf>
    <xf numFmtId="2" fontId="0" fillId="0" borderId="0" xfId="0" applyNumberFormat="1" applyFill="1" applyAlignment="1" applyProtection="1">
      <alignment horizontal="center" wrapText="1"/>
      <protection locked="0"/>
    </xf>
    <xf numFmtId="0" fontId="7" fillId="0" borderId="0" xfId="0" applyFont="1" applyFill="1" applyAlignment="1" applyProtection="1">
      <alignment wrapText="1"/>
      <protection locked="0"/>
    </xf>
    <xf numFmtId="0" fontId="0" fillId="0" borderId="0" xfId="0" applyFill="1" applyAlignment="1" applyProtection="1">
      <protection locked="0"/>
    </xf>
    <xf numFmtId="49" fontId="29" fillId="2" borderId="9" xfId="0" applyNumberFormat="1" applyFont="1" applyFill="1" applyBorder="1" applyAlignment="1" applyProtection="1">
      <alignment horizontal="center" vertical="center" textRotation="90" wrapText="1"/>
      <protection locked="0"/>
    </xf>
    <xf numFmtId="0" fontId="24" fillId="2" borderId="9" xfId="0" applyFont="1" applyFill="1" applyBorder="1" applyAlignment="1" applyProtection="1">
      <alignment horizontal="center" vertical="center" textRotation="90" wrapText="1"/>
      <protection locked="0"/>
    </xf>
    <xf numFmtId="0" fontId="24" fillId="2" borderId="9" xfId="0" applyFont="1" applyFill="1" applyBorder="1" applyAlignment="1" applyProtection="1">
      <alignment horizontal="center" vertical="center" wrapText="1"/>
      <protection locked="0"/>
    </xf>
    <xf numFmtId="0" fontId="24" fillId="2" borderId="8" xfId="0" applyFont="1" applyFill="1" applyBorder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center" wrapText="1"/>
      <protection locked="0"/>
    </xf>
    <xf numFmtId="164" fontId="18" fillId="7" borderId="13" xfId="0" applyNumberFormat="1" applyFont="1" applyFill="1" applyBorder="1" applyAlignment="1" applyProtection="1">
      <alignment horizontal="center" textRotation="90" wrapText="1"/>
      <protection locked="0"/>
    </xf>
    <xf numFmtId="49" fontId="12" fillId="4" borderId="3" xfId="0" applyNumberFormat="1" applyFont="1" applyFill="1" applyBorder="1" applyAlignment="1" applyProtection="1">
      <alignment horizontal="center" vertical="center" textRotation="90" wrapText="1"/>
      <protection locked="0"/>
    </xf>
    <xf numFmtId="49" fontId="12" fillId="4" borderId="4" xfId="0" applyNumberFormat="1" applyFont="1" applyFill="1" applyBorder="1" applyAlignment="1" applyProtection="1">
      <alignment horizontal="center" vertical="center" wrapText="1"/>
      <protection locked="0"/>
    </xf>
    <xf numFmtId="164" fontId="18" fillId="0" borderId="18" xfId="0" applyNumberFormat="1" applyFont="1" applyFill="1" applyBorder="1" applyAlignment="1" applyProtection="1">
      <alignment horizontal="center" vertical="center" textRotation="90" wrapText="1"/>
      <protection locked="0"/>
    </xf>
    <xf numFmtId="0" fontId="13" fillId="0" borderId="13" xfId="0" applyFont="1" applyBorder="1" applyAlignment="1" applyProtection="1">
      <alignment horizontal="center" vertical="center" wrapText="1"/>
      <protection locked="0"/>
    </xf>
    <xf numFmtId="0" fontId="13" fillId="0" borderId="13" xfId="0" applyFont="1" applyBorder="1" applyAlignment="1" applyProtection="1">
      <alignment vertical="center" wrapText="1"/>
      <protection locked="0"/>
    </xf>
    <xf numFmtId="164" fontId="17" fillId="8" borderId="13" xfId="0" applyNumberFormat="1" applyFont="1" applyFill="1" applyBorder="1" applyAlignment="1" applyProtection="1">
      <alignment horizontal="center" textRotation="90" wrapText="1"/>
      <protection locked="0"/>
    </xf>
    <xf numFmtId="49" fontId="23" fillId="0" borderId="0" xfId="0" applyNumberFormat="1" applyFont="1" applyFill="1" applyAlignment="1" applyProtection="1">
      <protection locked="0"/>
    </xf>
    <xf numFmtId="49" fontId="18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23" fillId="0" borderId="0" xfId="0" applyFont="1" applyFill="1" applyAlignment="1" applyProtection="1">
      <alignment wrapText="1"/>
      <protection locked="0"/>
    </xf>
    <xf numFmtId="0" fontId="13" fillId="0" borderId="0" xfId="0" applyFont="1" applyFill="1" applyAlignment="1" applyProtection="1">
      <alignment wrapText="1"/>
      <protection locked="0"/>
    </xf>
    <xf numFmtId="49" fontId="17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wrapText="1"/>
      <protection locked="0"/>
    </xf>
    <xf numFmtId="0" fontId="6" fillId="0" borderId="0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protection locked="0"/>
    </xf>
    <xf numFmtId="0" fontId="6" fillId="0" borderId="2" xfId="0" applyFont="1" applyFill="1" applyBorder="1" applyAlignment="1" applyProtection="1">
      <alignment horizontal="center"/>
      <protection locked="0"/>
    </xf>
    <xf numFmtId="0" fontId="6" fillId="0" borderId="0" xfId="0" applyFont="1" applyFill="1" applyAlignment="1" applyProtection="1">
      <protection locked="0"/>
    </xf>
    <xf numFmtId="0" fontId="6" fillId="0" borderId="0" xfId="0" applyFont="1" applyFill="1" applyAlignment="1" applyProtection="1">
      <alignment wrapText="1"/>
      <protection locked="0"/>
    </xf>
    <xf numFmtId="0" fontId="6" fillId="0" borderId="2" xfId="0" applyFont="1" applyFill="1" applyBorder="1" applyAlignment="1" applyProtection="1">
      <alignment horizontal="center" wrapText="1"/>
      <protection locked="0"/>
    </xf>
    <xf numFmtId="164" fontId="6" fillId="0" borderId="2" xfId="0" applyNumberFormat="1" applyFont="1" applyFill="1" applyBorder="1" applyAlignment="1" applyProtection="1">
      <alignment horizontal="center"/>
      <protection locked="0"/>
    </xf>
    <xf numFmtId="164" fontId="6" fillId="0" borderId="2" xfId="0" applyNumberFormat="1" applyFont="1" applyFill="1" applyBorder="1" applyAlignment="1" applyProtection="1">
      <alignment horizontal="center" wrapText="1"/>
      <protection locked="0"/>
    </xf>
    <xf numFmtId="0" fontId="6" fillId="0" borderId="0" xfId="0" applyFont="1" applyFill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horizontal="center"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0" xfId="0" applyFont="1" applyFill="1" applyAlignment="1" applyProtection="1">
      <alignment vertical="center" wrapText="1"/>
      <protection locked="0"/>
    </xf>
    <xf numFmtId="0" fontId="6" fillId="0" borderId="0" xfId="0" applyFont="1" applyAlignment="1" applyProtection="1">
      <protection locked="0"/>
    </xf>
    <xf numFmtId="0" fontId="6" fillId="0" borderId="0" xfId="0" applyFont="1" applyBorder="1" applyAlignment="1" applyProtection="1">
      <protection locked="0"/>
    </xf>
    <xf numFmtId="0" fontId="6" fillId="0" borderId="0" xfId="0" applyFont="1" applyBorder="1" applyAlignment="1" applyProtection="1">
      <alignment wrapText="1"/>
      <protection locked="0"/>
    </xf>
    <xf numFmtId="0" fontId="13" fillId="0" borderId="6" xfId="0" applyFont="1" applyBorder="1" applyAlignment="1" applyProtection="1">
      <alignment horizontal="center" textRotation="90" wrapText="1"/>
      <protection locked="0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Border="1" applyAlignment="1" applyProtection="1">
      <alignment horizontal="center" vertical="center" wrapText="1"/>
      <protection locked="0"/>
    </xf>
    <xf numFmtId="0" fontId="23" fillId="0" borderId="0" xfId="0" applyFont="1" applyFill="1" applyBorder="1" applyAlignment="1" applyProtection="1">
      <alignment horizontal="center"/>
      <protection locked="0"/>
    </xf>
    <xf numFmtId="9" fontId="0" fillId="0" borderId="0" xfId="6" applyFont="1"/>
    <xf numFmtId="0" fontId="13" fillId="0" borderId="24" xfId="0" applyFont="1" applyBorder="1" applyAlignment="1" applyProtection="1">
      <alignment vertical="center" wrapText="1"/>
      <protection locked="0"/>
    </xf>
    <xf numFmtId="0" fontId="6" fillId="10" borderId="2" xfId="0" applyFont="1" applyFill="1" applyBorder="1" applyAlignment="1" applyProtection="1">
      <protection locked="0"/>
    </xf>
    <xf numFmtId="0" fontId="6" fillId="10" borderId="2" xfId="0" applyFont="1" applyFill="1" applyBorder="1" applyAlignment="1" applyProtection="1">
      <alignment vertical="center"/>
      <protection locked="0"/>
    </xf>
    <xf numFmtId="0" fontId="6" fillId="10" borderId="2" xfId="0" applyFont="1" applyFill="1" applyBorder="1" applyAlignment="1" applyProtection="1">
      <alignment wrapText="1"/>
      <protection locked="0"/>
    </xf>
    <xf numFmtId="0" fontId="6" fillId="0" borderId="2" xfId="0" applyFont="1" applyFill="1" applyBorder="1" applyAlignment="1" applyProtection="1">
      <alignment horizontal="left" wrapText="1"/>
      <protection locked="0"/>
    </xf>
    <xf numFmtId="0" fontId="24" fillId="2" borderId="8" xfId="0" applyFont="1" applyFill="1" applyBorder="1" applyAlignment="1" applyProtection="1">
      <alignment horizontal="center" vertical="center" textRotation="90" wrapText="1"/>
      <protection locked="0"/>
    </xf>
    <xf numFmtId="0" fontId="33" fillId="4" borderId="0" xfId="0" applyFont="1" applyFill="1" applyBorder="1" applyAlignment="1" applyProtection="1">
      <alignment vertical="center" wrapText="1"/>
      <protection locked="0"/>
    </xf>
    <xf numFmtId="0" fontId="0" fillId="0" borderId="0" xfId="0" applyAlignment="1"/>
    <xf numFmtId="49" fontId="4" fillId="0" borderId="22" xfId="0" applyNumberFormat="1" applyFont="1" applyFill="1" applyBorder="1" applyAlignment="1" applyProtection="1">
      <alignment vertical="center" wrapText="1"/>
      <protection locked="0"/>
    </xf>
    <xf numFmtId="49" fontId="4" fillId="0" borderId="14" xfId="0" applyNumberFormat="1" applyFont="1" applyFill="1" applyBorder="1" applyAlignment="1" applyProtection="1">
      <alignment vertical="center" wrapText="1"/>
      <protection locked="0"/>
    </xf>
    <xf numFmtId="49" fontId="4" fillId="0" borderId="21" xfId="0" applyNumberFormat="1" applyFont="1" applyFill="1" applyBorder="1" applyAlignment="1" applyProtection="1">
      <alignment vertical="center"/>
      <protection locked="0"/>
    </xf>
    <xf numFmtId="0" fontId="18" fillId="2" borderId="4" xfId="0" applyFont="1" applyFill="1" applyBorder="1" applyAlignment="1" applyProtection="1">
      <alignment horizontal="center" vertical="center" textRotation="90" wrapText="1"/>
      <protection locked="0"/>
    </xf>
    <xf numFmtId="164" fontId="36" fillId="11" borderId="18" xfId="0" applyNumberFormat="1" applyFont="1" applyFill="1" applyBorder="1" applyAlignment="1" applyProtection="1">
      <alignment horizontal="center" vertical="center" textRotation="90" wrapText="1"/>
      <protection locked="0"/>
    </xf>
    <xf numFmtId="2" fontId="24" fillId="2" borderId="8" xfId="0" applyNumberFormat="1" applyFont="1" applyFill="1" applyBorder="1" applyAlignment="1" applyProtection="1">
      <alignment horizontal="center" vertical="center" wrapText="1"/>
      <protection locked="0"/>
    </xf>
    <xf numFmtId="2" fontId="24" fillId="2" borderId="30" xfId="0" applyNumberFormat="1" applyFont="1" applyFill="1" applyBorder="1" applyAlignment="1" applyProtection="1">
      <alignment horizontal="center" vertical="center" wrapText="1"/>
      <protection locked="0"/>
    </xf>
    <xf numFmtId="2" fontId="2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38" fillId="0" borderId="2" xfId="0" applyFont="1" applyFill="1" applyBorder="1" applyAlignment="1" applyProtection="1">
      <protection locked="0"/>
    </xf>
    <xf numFmtId="0" fontId="38" fillId="0" borderId="0" xfId="0" applyFont="1" applyFill="1" applyBorder="1" applyAlignment="1"/>
    <xf numFmtId="0" fontId="38" fillId="11" borderId="2" xfId="0" applyFont="1" applyFill="1" applyBorder="1" applyAlignment="1"/>
    <xf numFmtId="0" fontId="38" fillId="11" borderId="23" xfId="0" applyFont="1" applyFill="1" applyBorder="1" applyAlignment="1">
      <alignment wrapText="1"/>
    </xf>
    <xf numFmtId="0" fontId="18" fillId="0" borderId="0" xfId="0" applyFont="1" applyFill="1" applyAlignment="1"/>
    <xf numFmtId="0" fontId="18" fillId="0" borderId="0" xfId="0" applyFont="1" applyFill="1" applyBorder="1" applyAlignment="1"/>
    <xf numFmtId="0" fontId="38" fillId="11" borderId="1" xfId="0" applyFont="1" applyFill="1" applyBorder="1" applyAlignment="1"/>
    <xf numFmtId="0" fontId="38" fillId="11" borderId="44" xfId="0" applyFont="1" applyFill="1" applyBorder="1" applyAlignment="1">
      <alignment wrapText="1"/>
    </xf>
    <xf numFmtId="0" fontId="38" fillId="0" borderId="10" xfId="0" applyFont="1" applyBorder="1" applyAlignment="1">
      <alignment wrapText="1"/>
    </xf>
    <xf numFmtId="0" fontId="23" fillId="0" borderId="7" xfId="0" applyFont="1" applyFill="1" applyBorder="1" applyAlignment="1" applyProtection="1">
      <protection locked="0"/>
    </xf>
    <xf numFmtId="0" fontId="13" fillId="0" borderId="7" xfId="0" applyFont="1" applyBorder="1" applyAlignment="1" applyProtection="1">
      <alignment wrapText="1"/>
      <protection locked="0"/>
    </xf>
    <xf numFmtId="0" fontId="37" fillId="0" borderId="7" xfId="0" applyFont="1" applyFill="1" applyBorder="1" applyAlignment="1"/>
    <xf numFmtId="0" fontId="39" fillId="0" borderId="10" xfId="0" applyFont="1" applyFill="1" applyBorder="1" applyAlignment="1"/>
    <xf numFmtId="0" fontId="38" fillId="0" borderId="10" xfId="0" applyFont="1" applyFill="1" applyBorder="1" applyAlignment="1"/>
    <xf numFmtId="0" fontId="38" fillId="0" borderId="10" xfId="0" applyFont="1" applyFill="1" applyBorder="1" applyAlignment="1">
      <alignment wrapText="1"/>
    </xf>
    <xf numFmtId="0" fontId="23" fillId="0" borderId="14" xfId="0" applyFont="1" applyFill="1" applyBorder="1" applyAlignment="1" applyProtection="1">
      <alignment horizontal="center" vertical="center" wrapText="1"/>
      <protection locked="0"/>
    </xf>
    <xf numFmtId="0" fontId="37" fillId="0" borderId="10" xfId="0" applyFont="1" applyBorder="1" applyAlignment="1"/>
    <xf numFmtId="0" fontId="38" fillId="11" borderId="17" xfId="0" applyFont="1" applyFill="1" applyBorder="1" applyAlignment="1"/>
    <xf numFmtId="0" fontId="38" fillId="11" borderId="25" xfId="0" applyFont="1" applyFill="1" applyBorder="1" applyAlignment="1">
      <alignment wrapText="1"/>
    </xf>
    <xf numFmtId="0" fontId="18" fillId="0" borderId="0" xfId="0" applyFont="1" applyFill="1" applyAlignment="1">
      <alignment wrapText="1"/>
    </xf>
    <xf numFmtId="0" fontId="24" fillId="13" borderId="8" xfId="0" applyFont="1" applyFill="1" applyBorder="1" applyAlignment="1" applyProtection="1">
      <alignment horizontal="center" vertical="center" wrapText="1"/>
      <protection locked="0"/>
    </xf>
    <xf numFmtId="2" fontId="24" fillId="13" borderId="9" xfId="0" applyNumberFormat="1" applyFont="1" applyFill="1" applyBorder="1" applyAlignment="1" applyProtection="1">
      <alignment horizontal="center" vertical="center" wrapText="1"/>
      <protection locked="0"/>
    </xf>
    <xf numFmtId="1" fontId="23" fillId="13" borderId="9" xfId="0" applyNumberFormat="1" applyFont="1" applyFill="1" applyBorder="1" applyAlignment="1" applyProtection="1">
      <alignment horizontal="center" vertical="center" wrapText="1"/>
      <protection locked="0"/>
    </xf>
    <xf numFmtId="1" fontId="23" fillId="13" borderId="11" xfId="0" applyNumberFormat="1" applyFont="1" applyFill="1" applyBorder="1" applyAlignment="1" applyProtection="1">
      <alignment horizontal="center" vertical="center" wrapText="1"/>
      <protection locked="0"/>
    </xf>
    <xf numFmtId="1" fontId="23" fillId="13" borderId="12" xfId="0" applyNumberFormat="1" applyFont="1" applyFill="1" applyBorder="1" applyAlignment="1" applyProtection="1">
      <alignment horizontal="center" vertical="center" wrapText="1"/>
      <protection locked="0"/>
    </xf>
    <xf numFmtId="0" fontId="38" fillId="0" borderId="7" xfId="0" applyFont="1" applyFill="1" applyBorder="1" applyAlignment="1" applyProtection="1">
      <protection locked="0"/>
    </xf>
    <xf numFmtId="0" fontId="18" fillId="0" borderId="0" xfId="0" applyFont="1" applyFill="1" applyAlignment="1" applyProtection="1">
      <protection locked="0"/>
    </xf>
    <xf numFmtId="0" fontId="40" fillId="0" borderId="0" xfId="0" applyFont="1" applyFill="1" applyAlignment="1" applyProtection="1">
      <alignment wrapText="1"/>
      <protection locked="0"/>
    </xf>
    <xf numFmtId="0" fontId="41" fillId="0" borderId="0" xfId="0" applyFont="1" applyProtection="1">
      <protection locked="0"/>
    </xf>
    <xf numFmtId="0" fontId="40" fillId="0" borderId="0" xfId="0" applyFont="1" applyFill="1" applyAlignment="1" applyProtection="1">
      <protection locked="0"/>
    </xf>
    <xf numFmtId="0" fontId="40" fillId="0" borderId="0" xfId="0" applyFont="1" applyFill="1" applyBorder="1" applyAlignment="1" applyProtection="1">
      <protection locked="0"/>
    </xf>
    <xf numFmtId="0" fontId="40" fillId="0" borderId="0" xfId="0" applyFont="1" applyFill="1" applyBorder="1" applyAlignment="1" applyProtection="1">
      <alignment wrapText="1"/>
      <protection locked="0"/>
    </xf>
    <xf numFmtId="49" fontId="0" fillId="0" borderId="0" xfId="0" applyNumberFormat="1" applyProtection="1"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49" fontId="4" fillId="0" borderId="22" xfId="0" applyNumberFormat="1" applyFont="1" applyFill="1" applyBorder="1" applyAlignment="1" applyProtection="1">
      <alignment vertical="center" wrapText="1"/>
    </xf>
    <xf numFmtId="0" fontId="23" fillId="0" borderId="0" xfId="0" applyFont="1" applyFill="1" applyAlignment="1" applyProtection="1">
      <alignment horizontal="center" wrapText="1"/>
    </xf>
    <xf numFmtId="0" fontId="0" fillId="0" borderId="0" xfId="0" applyAlignment="1" applyProtection="1">
      <alignment horizontal="center"/>
    </xf>
    <xf numFmtId="0" fontId="0" fillId="0" borderId="0" xfId="0" applyProtection="1"/>
    <xf numFmtId="0" fontId="13" fillId="14" borderId="13" xfId="0" applyFont="1" applyFill="1" applyBorder="1" applyAlignment="1" applyProtection="1">
      <alignment horizontal="center" vertical="center" textRotation="90" wrapText="1"/>
    </xf>
    <xf numFmtId="0" fontId="13" fillId="14" borderId="13" xfId="0" applyFont="1" applyFill="1" applyBorder="1" applyAlignment="1" applyProtection="1">
      <alignment horizontal="center" vertical="center" textRotation="90" wrapText="1"/>
      <protection locked="0"/>
    </xf>
    <xf numFmtId="0" fontId="13" fillId="14" borderId="3" xfId="0" applyFont="1" applyFill="1" applyBorder="1" applyAlignment="1" applyProtection="1">
      <alignment horizontal="center" vertical="center" textRotation="90" wrapText="1"/>
    </xf>
    <xf numFmtId="0" fontId="6" fillId="14" borderId="2" xfId="0" applyFont="1" applyFill="1" applyBorder="1" applyAlignment="1" applyProtection="1">
      <alignment horizontal="center"/>
    </xf>
    <xf numFmtId="0" fontId="3" fillId="4" borderId="15" xfId="0" applyFont="1" applyFill="1" applyBorder="1" applyAlignment="1" applyProtection="1">
      <alignment horizontal="center" vertical="center" wrapText="1"/>
    </xf>
    <xf numFmtId="0" fontId="3" fillId="4" borderId="16" xfId="0" applyFont="1" applyFill="1" applyBorder="1" applyAlignment="1" applyProtection="1">
      <alignment horizontal="center" vertical="center"/>
    </xf>
    <xf numFmtId="1" fontId="23" fillId="2" borderId="8" xfId="0" applyNumberFormat="1" applyFont="1" applyFill="1" applyBorder="1" applyAlignment="1" applyProtection="1">
      <alignment horizontal="center" vertical="center" wrapText="1"/>
    </xf>
    <xf numFmtId="1" fontId="23" fillId="2" borderId="9" xfId="0" applyNumberFormat="1" applyFont="1" applyFill="1" applyBorder="1" applyAlignment="1" applyProtection="1">
      <alignment horizontal="center" vertical="center" wrapText="1"/>
    </xf>
    <xf numFmtId="1" fontId="23" fillId="2" borderId="11" xfId="0" applyNumberFormat="1" applyFont="1" applyFill="1" applyBorder="1" applyAlignment="1" applyProtection="1">
      <alignment horizontal="center" vertical="center" wrapText="1"/>
    </xf>
    <xf numFmtId="1" fontId="23" fillId="2" borderId="6" xfId="0" applyNumberFormat="1" applyFont="1" applyFill="1" applyBorder="1" applyAlignment="1" applyProtection="1">
      <alignment horizontal="center" vertical="center" wrapText="1"/>
    </xf>
    <xf numFmtId="1" fontId="23" fillId="2" borderId="37" xfId="0" applyNumberFormat="1" applyFont="1" applyFill="1" applyBorder="1" applyAlignment="1" applyProtection="1">
      <alignment horizontal="center" vertical="center" wrapText="1"/>
    </xf>
    <xf numFmtId="1" fontId="23" fillId="2" borderId="0" xfId="0" applyNumberFormat="1" applyFont="1" applyFill="1" applyBorder="1" applyAlignment="1" applyProtection="1">
      <alignment horizontal="center" vertical="center" wrapText="1"/>
    </xf>
    <xf numFmtId="0" fontId="7" fillId="3" borderId="3" xfId="0" applyFont="1" applyFill="1" applyBorder="1" applyAlignment="1" applyProtection="1">
      <alignment horizontal="center" vertical="center" wrapText="1"/>
    </xf>
    <xf numFmtId="0" fontId="7" fillId="3" borderId="4" xfId="0" applyFont="1" applyFill="1" applyBorder="1" applyAlignment="1" applyProtection="1">
      <alignment horizontal="center" vertical="center" wrapText="1"/>
    </xf>
    <xf numFmtId="1" fontId="23" fillId="5" borderId="26" xfId="0" applyNumberFormat="1" applyFont="1" applyFill="1" applyBorder="1" applyAlignment="1" applyProtection="1">
      <alignment horizontal="center" wrapText="1"/>
    </xf>
    <xf numFmtId="10" fontId="23" fillId="5" borderId="27" xfId="0" applyNumberFormat="1" applyFont="1" applyFill="1" applyBorder="1" applyAlignment="1" applyProtection="1">
      <alignment horizontal="center" wrapText="1"/>
    </xf>
    <xf numFmtId="1" fontId="23" fillId="5" borderId="13" xfId="0" applyNumberFormat="1" applyFont="1" applyFill="1" applyBorder="1" applyAlignment="1" applyProtection="1">
      <alignment horizontal="center" wrapText="1"/>
    </xf>
    <xf numFmtId="10" fontId="23" fillId="5" borderId="4" xfId="0" applyNumberFormat="1" applyFont="1" applyFill="1" applyBorder="1" applyAlignment="1" applyProtection="1">
      <alignment horizontal="center" wrapText="1"/>
    </xf>
    <xf numFmtId="1" fontId="23" fillId="5" borderId="20" xfId="0" applyNumberFormat="1" applyFont="1" applyFill="1" applyBorder="1" applyAlignment="1" applyProtection="1">
      <alignment horizontal="center" wrapText="1"/>
    </xf>
    <xf numFmtId="10" fontId="23" fillId="5" borderId="16" xfId="0" applyNumberFormat="1" applyFont="1" applyFill="1" applyBorder="1" applyAlignment="1" applyProtection="1">
      <alignment horizontal="center" wrapText="1"/>
    </xf>
    <xf numFmtId="10" fontId="23" fillId="5" borderId="17" xfId="0" applyNumberFormat="1" applyFont="1" applyFill="1" applyBorder="1" applyAlignment="1" applyProtection="1">
      <alignment horizontal="center" wrapText="1"/>
    </xf>
    <xf numFmtId="1" fontId="23" fillId="5" borderId="23" xfId="0" applyNumberFormat="1" applyFont="1" applyFill="1" applyBorder="1" applyAlignment="1" applyProtection="1">
      <alignment horizontal="center" wrapText="1"/>
    </xf>
    <xf numFmtId="10" fontId="23" fillId="5" borderId="25" xfId="0" applyNumberFormat="1" applyFont="1" applyFill="1" applyBorder="1" applyAlignment="1" applyProtection="1">
      <alignment horizontal="center" wrapText="1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 applyProtection="1">
      <protection locked="0"/>
    </xf>
    <xf numFmtId="0" fontId="0" fillId="0" borderId="2" xfId="0" applyFill="1" applyBorder="1" applyAlignment="1" applyProtection="1">
      <protection locked="0"/>
    </xf>
    <xf numFmtId="0" fontId="0" fillId="0" borderId="2" xfId="0" applyBorder="1" applyProtection="1">
      <protection locked="0"/>
    </xf>
    <xf numFmtId="0" fontId="33" fillId="15" borderId="0" xfId="0" applyFont="1" applyFill="1" applyBorder="1" applyAlignment="1" applyProtection="1">
      <alignment vertical="center"/>
      <protection locked="0"/>
    </xf>
    <xf numFmtId="0" fontId="0" fillId="0" borderId="0" xfId="0" applyAlignment="1">
      <alignment wrapText="1"/>
    </xf>
    <xf numFmtId="0" fontId="42" fillId="0" borderId="0" xfId="0" applyFont="1" applyAlignment="1">
      <alignment wrapText="1"/>
    </xf>
    <xf numFmtId="49" fontId="36" fillId="0" borderId="22" xfId="0" applyNumberFormat="1" applyFont="1" applyFill="1" applyBorder="1" applyAlignment="1" applyProtection="1">
      <alignment vertical="center" wrapText="1"/>
      <protection locked="0"/>
    </xf>
    <xf numFmtId="0" fontId="43" fillId="0" borderId="0" xfId="0" applyFont="1" applyFill="1" applyBorder="1" applyAlignment="1" applyProtection="1">
      <alignment horizontal="center" wrapText="1"/>
      <protection locked="0"/>
    </xf>
    <xf numFmtId="0" fontId="18" fillId="0" borderId="2" xfId="0" applyFont="1" applyBorder="1" applyAlignment="1">
      <alignment vertical="justify" wrapText="1" shrinkToFit="1"/>
    </xf>
    <xf numFmtId="0" fontId="18" fillId="0" borderId="0" xfId="0" applyFont="1" applyAlignment="1" applyProtection="1">
      <alignment wrapText="1"/>
      <protection locked="0"/>
    </xf>
    <xf numFmtId="0" fontId="18" fillId="0" borderId="2" xfId="0" applyFont="1" applyBorder="1" applyAlignment="1">
      <alignment vertical="justify" wrapText="1"/>
    </xf>
    <xf numFmtId="0" fontId="0" fillId="0" borderId="2" xfId="0" applyBorder="1" applyAlignment="1">
      <alignment vertical="justify" wrapText="1"/>
    </xf>
    <xf numFmtId="49" fontId="45" fillId="0" borderId="22" xfId="0" applyNumberFormat="1" applyFont="1" applyFill="1" applyBorder="1" applyAlignment="1" applyProtection="1">
      <alignment vertical="center" wrapText="1"/>
      <protection locked="0"/>
    </xf>
    <xf numFmtId="0" fontId="46" fillId="0" borderId="0" xfId="0" applyFont="1" applyFill="1" applyBorder="1" applyAlignment="1" applyProtection="1">
      <alignment wrapText="1"/>
      <protection locked="0"/>
    </xf>
    <xf numFmtId="0" fontId="47" fillId="0" borderId="0" xfId="0" applyFont="1" applyAlignment="1" applyProtection="1">
      <alignment wrapText="1"/>
      <protection locked="0"/>
    </xf>
    <xf numFmtId="0" fontId="3" fillId="0" borderId="2" xfId="0" applyFont="1" applyBorder="1" applyAlignment="1" applyProtection="1">
      <alignment vertical="center"/>
      <protection locked="0"/>
    </xf>
    <xf numFmtId="0" fontId="5" fillId="0" borderId="2" xfId="0" applyFont="1" applyBorder="1" applyAlignment="1" applyProtection="1">
      <protection locked="0"/>
    </xf>
    <xf numFmtId="0" fontId="15" fillId="0" borderId="2" xfId="0" applyFont="1" applyBorder="1" applyAlignment="1" applyProtection="1">
      <protection locked="0"/>
    </xf>
    <xf numFmtId="0" fontId="14" fillId="0" borderId="2" xfId="0" applyFont="1" applyBorder="1" applyAlignment="1" applyProtection="1">
      <protection locked="0"/>
    </xf>
    <xf numFmtId="0" fontId="1" fillId="0" borderId="2" xfId="0" applyFont="1" applyBorder="1" applyAlignment="1" applyProtection="1">
      <protection locked="0"/>
    </xf>
    <xf numFmtId="0" fontId="8" fillId="0" borderId="2" xfId="0" applyFont="1" applyBorder="1" applyAlignment="1" applyProtection="1">
      <protection locked="0"/>
    </xf>
    <xf numFmtId="0" fontId="11" fillId="0" borderId="2" xfId="0" applyFont="1" applyBorder="1" applyAlignment="1" applyProtection="1">
      <alignment wrapText="1"/>
      <protection locked="0"/>
    </xf>
    <xf numFmtId="0" fontId="7" fillId="0" borderId="2" xfId="0" applyFont="1" applyFill="1" applyBorder="1" applyAlignment="1" applyProtection="1">
      <alignment horizontal="center" wrapText="1"/>
      <protection locked="0"/>
    </xf>
    <xf numFmtId="49" fontId="0" fillId="0" borderId="2" xfId="0" applyNumberFormat="1" applyBorder="1" applyProtection="1"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164" fontId="6" fillId="0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2" xfId="0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>
      <alignment vertical="top"/>
    </xf>
    <xf numFmtId="0" fontId="44" fillId="0" borderId="2" xfId="0" applyFont="1" applyFill="1" applyBorder="1" applyAlignment="1" applyProtection="1">
      <alignment vertical="top"/>
      <protection locked="0"/>
    </xf>
    <xf numFmtId="0" fontId="1" fillId="0" borderId="2" xfId="0" applyFont="1" applyBorder="1" applyAlignment="1">
      <alignment vertical="top"/>
    </xf>
    <xf numFmtId="14" fontId="0" fillId="0" borderId="2" xfId="0" applyNumberFormat="1" applyBorder="1" applyAlignment="1" applyProtection="1">
      <alignment vertical="top"/>
      <protection locked="0"/>
    </xf>
    <xf numFmtId="0" fontId="0" fillId="0" borderId="2" xfId="0" applyBorder="1" applyAlignment="1" applyProtection="1">
      <alignment vertical="top"/>
      <protection locked="0"/>
    </xf>
    <xf numFmtId="0" fontId="0" fillId="0" borderId="2" xfId="0" applyFill="1" applyBorder="1" applyAlignment="1" applyProtection="1">
      <alignment vertical="top"/>
      <protection locked="0"/>
    </xf>
    <xf numFmtId="0" fontId="44" fillId="0" borderId="19" xfId="0" applyFont="1" applyFill="1" applyBorder="1" applyAlignment="1" applyProtection="1">
      <alignment vertical="top"/>
      <protection locked="0"/>
    </xf>
    <xf numFmtId="0" fontId="6" fillId="0" borderId="2" xfId="0" applyFont="1" applyFill="1" applyBorder="1" applyAlignment="1" applyProtection="1">
      <alignment vertical="top"/>
      <protection locked="0"/>
    </xf>
    <xf numFmtId="0" fontId="5" fillId="0" borderId="2" xfId="0" applyFont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vertical="top"/>
      <protection locked="0"/>
    </xf>
    <xf numFmtId="0" fontId="0" fillId="0" borderId="2" xfId="0" applyBorder="1" applyAlignment="1" applyProtection="1">
      <alignment wrapText="1"/>
      <protection locked="0"/>
    </xf>
    <xf numFmtId="0" fontId="1" fillId="0" borderId="2" xfId="0" applyFont="1" applyBorder="1" applyAlignment="1" applyProtection="1">
      <alignment wrapText="1"/>
      <protection locked="0"/>
    </xf>
    <xf numFmtId="14" fontId="7" fillId="0" borderId="2" xfId="0" applyNumberFormat="1" applyFont="1" applyBorder="1" applyAlignment="1" applyProtection="1">
      <alignment vertical="top"/>
      <protection locked="0"/>
    </xf>
    <xf numFmtId="0" fontId="48" fillId="0" borderId="0" xfId="7" applyBorder="1"/>
    <xf numFmtId="0" fontId="11" fillId="0" borderId="0" xfId="0" applyFont="1" applyBorder="1" applyAlignment="1" applyProtection="1">
      <alignment horizontal="center" wrapText="1"/>
      <protection locked="0"/>
    </xf>
    <xf numFmtId="0" fontId="37" fillId="0" borderId="2" xfId="7" applyFont="1" applyBorder="1" applyAlignment="1">
      <alignment horizontal="center" vertical="center"/>
    </xf>
    <xf numFmtId="2" fontId="0" fillId="0" borderId="45" xfId="0" applyNumberFormat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0" xfId="0" applyBorder="1"/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/>
      <protection locked="0"/>
    </xf>
    <xf numFmtId="0" fontId="0" fillId="0" borderId="2" xfId="0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" xfId="0" applyFill="1" applyBorder="1" applyAlignment="1" applyProtection="1">
      <alignment horizontal="center"/>
      <protection locked="0"/>
    </xf>
    <xf numFmtId="0" fontId="3" fillId="0" borderId="2" xfId="0" applyFont="1" applyFill="1" applyBorder="1" applyAlignment="1" applyProtection="1">
      <alignment vertical="center"/>
      <protection locked="0"/>
    </xf>
    <xf numFmtId="0" fontId="5" fillId="0" borderId="2" xfId="0" applyFont="1" applyFill="1" applyBorder="1" applyAlignment="1" applyProtection="1">
      <protection locked="0"/>
    </xf>
    <xf numFmtId="0" fontId="15" fillId="0" borderId="2" xfId="0" applyFont="1" applyFill="1" applyBorder="1" applyAlignment="1" applyProtection="1">
      <protection locked="0"/>
    </xf>
    <xf numFmtId="0" fontId="14" fillId="0" borderId="2" xfId="0" applyFont="1" applyFill="1" applyBorder="1" applyAlignment="1" applyProtection="1">
      <protection locked="0"/>
    </xf>
    <xf numFmtId="0" fontId="8" fillId="0" borderId="2" xfId="0" applyFont="1" applyFill="1" applyBorder="1" applyAlignment="1" applyProtection="1">
      <protection locked="0"/>
    </xf>
    <xf numFmtId="0" fontId="11" fillId="0" borderId="2" xfId="0" applyFont="1" applyFill="1" applyBorder="1" applyAlignment="1" applyProtection="1">
      <alignment wrapText="1"/>
      <protection locked="0"/>
    </xf>
    <xf numFmtId="0" fontId="0" fillId="12" borderId="2" xfId="0" applyFill="1" applyBorder="1" applyAlignment="1" applyProtection="1">
      <alignment horizontal="center"/>
      <protection locked="0"/>
    </xf>
    <xf numFmtId="0" fontId="1" fillId="0" borderId="0" xfId="0" applyFont="1" applyAlignment="1">
      <alignment wrapText="1"/>
    </xf>
    <xf numFmtId="0" fontId="1" fillId="0" borderId="2" xfId="0" applyFont="1" applyBorder="1" applyProtection="1">
      <protection locked="0"/>
    </xf>
    <xf numFmtId="0" fontId="13" fillId="16" borderId="13" xfId="0" applyFont="1" applyFill="1" applyBorder="1" applyAlignment="1" applyProtection="1">
      <alignment horizontal="center" vertical="center" wrapText="1"/>
      <protection locked="0"/>
    </xf>
    <xf numFmtId="9" fontId="0" fillId="0" borderId="0" xfId="0" applyNumberFormat="1"/>
    <xf numFmtId="0" fontId="1" fillId="0" borderId="2" xfId="0" applyFont="1" applyFill="1" applyBorder="1" applyAlignment="1" applyProtection="1"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1" fillId="0" borderId="2" xfId="0" applyFont="1" applyFill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center" wrapText="1"/>
      <protection locked="0"/>
    </xf>
    <xf numFmtId="0" fontId="15" fillId="0" borderId="2" xfId="0" applyFont="1" applyBorder="1" applyAlignment="1" applyProtection="1">
      <alignment horizontal="center"/>
      <protection locked="0"/>
    </xf>
    <xf numFmtId="0" fontId="14" fillId="0" borderId="2" xfId="0" applyFont="1" applyBorder="1" applyAlignment="1" applyProtection="1">
      <alignment horizontal="center"/>
      <protection locked="0"/>
    </xf>
    <xf numFmtId="0" fontId="8" fillId="0" borderId="2" xfId="0" applyFont="1" applyBorder="1" applyAlignment="1" applyProtection="1">
      <alignment horizontal="center"/>
      <protection locked="0"/>
    </xf>
    <xf numFmtId="0" fontId="6" fillId="14" borderId="2" xfId="0" applyFont="1" applyFill="1" applyBorder="1" applyAlignment="1" applyProtection="1">
      <alignment horizontal="center" wrapText="1"/>
    </xf>
    <xf numFmtId="0" fontId="6" fillId="10" borderId="2" xfId="0" applyFont="1" applyFill="1" applyBorder="1" applyAlignment="1" applyProtection="1">
      <alignment horizontal="center"/>
      <protection locked="0"/>
    </xf>
    <xf numFmtId="0" fontId="38" fillId="14" borderId="2" xfId="0" applyFont="1" applyFill="1" applyBorder="1" applyAlignment="1" applyProtection="1">
      <alignment horizontal="center"/>
    </xf>
    <xf numFmtId="0" fontId="6" fillId="10" borderId="2" xfId="0" applyFont="1" applyFill="1" applyBorder="1" applyAlignment="1" applyProtection="1">
      <alignment horizontal="center" wrapText="1"/>
      <protection locked="0"/>
    </xf>
    <xf numFmtId="49" fontId="1" fillId="0" borderId="2" xfId="0" applyNumberFormat="1" applyFont="1" applyBorder="1" applyAlignment="1" applyProtection="1">
      <alignment horizontal="center"/>
      <protection locked="0"/>
    </xf>
    <xf numFmtId="0" fontId="47" fillId="0" borderId="2" xfId="0" applyFont="1" applyBorder="1" applyAlignment="1" applyProtection="1">
      <alignment wrapText="1"/>
      <protection locked="0"/>
    </xf>
    <xf numFmtId="2" fontId="0" fillId="0" borderId="2" xfId="0" applyNumberFormat="1" applyFill="1" applyBorder="1" applyAlignment="1" applyProtection="1">
      <alignment horizontal="center" wrapText="1"/>
      <protection locked="0"/>
    </xf>
    <xf numFmtId="14" fontId="7" fillId="9" borderId="2" xfId="0" applyNumberFormat="1" applyFont="1" applyFill="1" applyBorder="1" applyAlignment="1" applyProtection="1">
      <alignment wrapText="1"/>
      <protection locked="0"/>
    </xf>
    <xf numFmtId="0" fontId="1" fillId="0" borderId="2" xfId="0" applyFont="1" applyFill="1" applyBorder="1" applyAlignment="1" applyProtection="1">
      <alignment vertical="top"/>
      <protection locked="0"/>
    </xf>
    <xf numFmtId="0" fontId="17" fillId="0" borderId="22" xfId="0" applyFont="1" applyFill="1" applyBorder="1" applyAlignment="1" applyProtection="1">
      <alignment horizontal="center" vertical="center" textRotation="90" wrapText="1"/>
      <protection locked="0"/>
    </xf>
    <xf numFmtId="0" fontId="17" fillId="0" borderId="13" xfId="0" applyFont="1" applyFill="1" applyBorder="1" applyAlignment="1" applyProtection="1">
      <alignment vertical="center" textRotation="90" wrapText="1"/>
      <protection locked="0"/>
    </xf>
    <xf numFmtId="0" fontId="17" fillId="0" borderId="13" xfId="0" applyFont="1" applyFill="1" applyBorder="1" applyAlignment="1" applyProtection="1">
      <alignment horizontal="center" vertical="center" textRotation="90" wrapText="1"/>
      <protection locked="0"/>
    </xf>
    <xf numFmtId="0" fontId="17" fillId="0" borderId="13" xfId="0" applyFont="1" applyFill="1" applyBorder="1" applyAlignment="1" applyProtection="1">
      <alignment horizontal="center" vertical="center" wrapText="1"/>
      <protection locked="0"/>
    </xf>
    <xf numFmtId="0" fontId="18" fillId="0" borderId="13" xfId="0" applyFont="1" applyFill="1" applyBorder="1" applyAlignment="1" applyProtection="1">
      <alignment horizontal="center" vertical="center" wrapText="1"/>
      <protection locked="0"/>
    </xf>
    <xf numFmtId="164" fontId="17" fillId="0" borderId="3" xfId="0" applyNumberFormat="1" applyFont="1" applyFill="1" applyBorder="1" applyAlignment="1" applyProtection="1">
      <alignment horizontal="center" vertical="center" textRotation="90" wrapText="1"/>
      <protection locked="0"/>
    </xf>
    <xf numFmtId="0" fontId="18" fillId="0" borderId="4" xfId="0" applyFont="1" applyFill="1" applyBorder="1" applyAlignment="1" applyProtection="1">
      <alignment horizontal="center" vertical="center" textRotation="90" wrapText="1"/>
      <protection locked="0"/>
    </xf>
    <xf numFmtId="0" fontId="6" fillId="0" borderId="0" xfId="0" applyFont="1" applyBorder="1" applyAlignment="1" applyProtection="1">
      <protection locked="0"/>
    </xf>
    <xf numFmtId="9" fontId="0" fillId="0" borderId="0" xfId="6" applyFont="1"/>
    <xf numFmtId="0" fontId="40" fillId="0" borderId="0" xfId="0" applyFont="1" applyFill="1" applyAlignment="1" applyProtection="1">
      <alignment wrapText="1"/>
      <protection locked="0"/>
    </xf>
    <xf numFmtId="0" fontId="40" fillId="0" borderId="0" xfId="0" applyFont="1" applyFill="1" applyBorder="1" applyAlignment="1" applyProtection="1">
      <protection locked="0"/>
    </xf>
    <xf numFmtId="0" fontId="23" fillId="2" borderId="8" xfId="0" applyFont="1" applyFill="1" applyBorder="1" applyAlignment="1" applyProtection="1">
      <alignment horizontal="center" vertical="center" wrapText="1"/>
    </xf>
    <xf numFmtId="1" fontId="23" fillId="2" borderId="9" xfId="0" applyNumberFormat="1" applyFont="1" applyFill="1" applyBorder="1" applyAlignment="1" applyProtection="1">
      <alignment horizontal="center" vertical="center" wrapText="1"/>
    </xf>
    <xf numFmtId="0" fontId="11" fillId="0" borderId="0" xfId="0" applyFont="1" applyBorder="1" applyAlignment="1" applyProtection="1">
      <alignment wrapText="1"/>
      <protection locked="0"/>
    </xf>
    <xf numFmtId="0" fontId="0" fillId="0" borderId="0" xfId="0" applyBorder="1" applyAlignment="1" applyProtection="1">
      <alignment horizontal="center"/>
    </xf>
    <xf numFmtId="0" fontId="0" fillId="0" borderId="0" xfId="0" applyBorder="1" applyProtection="1"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Border="1" applyProtection="1"/>
    <xf numFmtId="0" fontId="7" fillId="0" borderId="0" xfId="0" applyFont="1" applyFill="1" applyBorder="1" applyAlignment="1" applyProtection="1">
      <alignment horizontal="center" wrapText="1"/>
      <protection locked="0"/>
    </xf>
    <xf numFmtId="0" fontId="7" fillId="0" borderId="0" xfId="0" applyFont="1" applyFill="1" applyBorder="1" applyAlignment="1" applyProtection="1">
      <alignment wrapText="1"/>
      <protection locked="0"/>
    </xf>
    <xf numFmtId="0" fontId="7" fillId="0" borderId="0" xfId="0" applyFont="1" applyBorder="1" applyAlignment="1" applyProtection="1">
      <alignment horizontal="center" wrapText="1"/>
      <protection locked="0"/>
    </xf>
    <xf numFmtId="0" fontId="1" fillId="0" borderId="2" xfId="0" applyFont="1" applyBorder="1" applyAlignment="1">
      <alignment vertical="justify" wrapText="1"/>
    </xf>
    <xf numFmtId="2" fontId="0" fillId="0" borderId="17" xfId="0" applyNumberFormat="1" applyBorder="1" applyAlignment="1">
      <alignment horizontal="center"/>
    </xf>
    <xf numFmtId="0" fontId="0" fillId="0" borderId="0" xfId="0" applyFill="1" applyBorder="1"/>
    <xf numFmtId="0" fontId="1" fillId="0" borderId="0" xfId="0" applyFont="1"/>
    <xf numFmtId="0" fontId="38" fillId="0" borderId="0" xfId="0" applyFont="1" applyFill="1" applyBorder="1" applyAlignment="1" applyProtection="1">
      <protection locked="0"/>
    </xf>
    <xf numFmtId="9" fontId="0" fillId="0" borderId="0" xfId="6" applyNumberFormat="1" applyFont="1"/>
    <xf numFmtId="0" fontId="0" fillId="0" borderId="2" xfId="0" applyBorder="1" applyAlignment="1" applyProtection="1">
      <alignment horizontal="center" wrapText="1"/>
      <protection locked="0"/>
    </xf>
    <xf numFmtId="0" fontId="23" fillId="0" borderId="21" xfId="0" applyFont="1" applyFill="1" applyBorder="1" applyAlignment="1" applyProtection="1">
      <alignment horizontal="center" vertical="center" wrapText="1"/>
      <protection locked="0"/>
    </xf>
    <xf numFmtId="0" fontId="23" fillId="0" borderId="14" xfId="0" applyFont="1" applyFill="1" applyBorder="1" applyAlignment="1" applyProtection="1">
      <alignment horizontal="center" vertical="center" wrapText="1"/>
      <protection locked="0"/>
    </xf>
    <xf numFmtId="0" fontId="21" fillId="0" borderId="3" xfId="0" applyFont="1" applyFill="1" applyBorder="1" applyAlignment="1" applyProtection="1">
      <alignment horizontal="center" vertical="center" wrapText="1"/>
      <protection locked="0"/>
    </xf>
    <xf numFmtId="0" fontId="21" fillId="0" borderId="13" xfId="0" applyFont="1" applyFill="1" applyBorder="1" applyAlignment="1" applyProtection="1">
      <alignment horizontal="center" vertical="center" wrapText="1"/>
      <protection locked="0"/>
    </xf>
    <xf numFmtId="0" fontId="21" fillId="0" borderId="4" xfId="0" applyFont="1" applyFill="1" applyBorder="1" applyAlignment="1" applyProtection="1">
      <alignment horizontal="center" vertical="center" wrapText="1"/>
      <protection locked="0"/>
    </xf>
    <xf numFmtId="0" fontId="23" fillId="0" borderId="22" xfId="0" applyFont="1" applyFill="1" applyBorder="1" applyAlignment="1" applyProtection="1">
      <alignment horizontal="center" vertical="center" wrapText="1"/>
      <protection locked="0"/>
    </xf>
    <xf numFmtId="10" fontId="23" fillId="0" borderId="21" xfId="0" applyNumberFormat="1" applyFont="1" applyFill="1" applyBorder="1" applyAlignment="1" applyProtection="1">
      <alignment horizontal="center" vertical="center" wrapText="1"/>
      <protection locked="0"/>
    </xf>
    <xf numFmtId="10" fontId="23" fillId="0" borderId="22" xfId="0" applyNumberFormat="1" applyFont="1" applyFill="1" applyBorder="1" applyAlignment="1" applyProtection="1">
      <alignment horizontal="center" vertical="center" wrapText="1"/>
      <protection locked="0"/>
    </xf>
    <xf numFmtId="10" fontId="23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38" fillId="11" borderId="40" xfId="0" applyFont="1" applyFill="1" applyBorder="1" applyAlignment="1">
      <alignment horizontal="left" vertical="center" wrapText="1"/>
    </xf>
    <xf numFmtId="0" fontId="0" fillId="0" borderId="42" xfId="0" applyBorder="1" applyAlignment="1"/>
    <xf numFmtId="0" fontId="0" fillId="0" borderId="38" xfId="0" applyBorder="1" applyAlignment="1"/>
    <xf numFmtId="0" fontId="38" fillId="11" borderId="43" xfId="0" applyFont="1" applyFill="1" applyBorder="1" applyAlignment="1"/>
    <xf numFmtId="0" fontId="0" fillId="0" borderId="20" xfId="0" applyBorder="1" applyAlignment="1"/>
    <xf numFmtId="0" fontId="38" fillId="11" borderId="40" xfId="0" applyFont="1" applyFill="1" applyBorder="1" applyAlignment="1">
      <alignment vertical="center" wrapText="1"/>
    </xf>
    <xf numFmtId="0" fontId="0" fillId="11" borderId="42" xfId="0" applyFill="1" applyBorder="1" applyAlignment="1">
      <alignment vertical="center"/>
    </xf>
    <xf numFmtId="0" fontId="0" fillId="11" borderId="38" xfId="0" applyFill="1" applyBorder="1" applyAlignment="1">
      <alignment vertical="center"/>
    </xf>
    <xf numFmtId="0" fontId="38" fillId="11" borderId="41" xfId="0" applyFont="1" applyFill="1" applyBorder="1" applyAlignment="1"/>
    <xf numFmtId="0" fontId="0" fillId="0" borderId="32" xfId="0" applyBorder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8" fillId="11" borderId="43" xfId="0" applyFont="1" applyFill="1" applyBorder="1" applyAlignment="1">
      <alignment wrapText="1"/>
    </xf>
    <xf numFmtId="0" fontId="0" fillId="0" borderId="33" xfId="0" applyBorder="1" applyAlignment="1"/>
    <xf numFmtId="0" fontId="3" fillId="4" borderId="31" xfId="0" applyFont="1" applyFill="1" applyBorder="1" applyAlignment="1" applyProtection="1">
      <alignment horizontal="center" vertical="center" wrapText="1"/>
      <protection locked="0"/>
    </xf>
    <xf numFmtId="0" fontId="3" fillId="4" borderId="32" xfId="0" applyFont="1" applyFill="1" applyBorder="1" applyAlignment="1" applyProtection="1">
      <alignment horizontal="center" vertical="center" wrapText="1"/>
      <protection locked="0"/>
    </xf>
    <xf numFmtId="0" fontId="3" fillId="4" borderId="33" xfId="0" applyFont="1" applyFill="1" applyBorder="1" applyAlignment="1" applyProtection="1">
      <alignment horizontal="center" vertical="center" wrapText="1"/>
      <protection locked="0"/>
    </xf>
    <xf numFmtId="0" fontId="1" fillId="4" borderId="34" xfId="0" applyFont="1" applyFill="1" applyBorder="1" applyAlignment="1" applyProtection="1">
      <alignment horizontal="center" vertical="center" wrapText="1"/>
      <protection locked="0"/>
    </xf>
    <xf numFmtId="0" fontId="7" fillId="4" borderId="35" xfId="0" applyFont="1" applyFill="1" applyBorder="1" applyAlignment="1" applyProtection="1">
      <alignment horizontal="center" vertical="center" wrapText="1"/>
      <protection locked="0"/>
    </xf>
    <xf numFmtId="0" fontId="7" fillId="4" borderId="36" xfId="0" applyFont="1" applyFill="1" applyBorder="1" applyAlignment="1" applyProtection="1">
      <alignment horizontal="center" vertical="center" wrapText="1"/>
      <protection locked="0"/>
    </xf>
    <xf numFmtId="49" fontId="7" fillId="3" borderId="21" xfId="0" applyNumberFormat="1" applyFont="1" applyFill="1" applyBorder="1" applyAlignment="1" applyProtection="1">
      <alignment horizontal="center" vertical="center"/>
      <protection locked="0"/>
    </xf>
    <xf numFmtId="49" fontId="7" fillId="3" borderId="22" xfId="0" applyNumberFormat="1" applyFont="1" applyFill="1" applyBorder="1" applyAlignment="1" applyProtection="1">
      <alignment horizontal="center" vertical="center"/>
      <protection locked="0"/>
    </xf>
    <xf numFmtId="49" fontId="7" fillId="3" borderId="14" xfId="0" applyNumberFormat="1" applyFont="1" applyFill="1" applyBorder="1" applyAlignment="1" applyProtection="1">
      <alignment horizontal="center" vertical="center"/>
      <protection locked="0"/>
    </xf>
    <xf numFmtId="49" fontId="7" fillId="0" borderId="0" xfId="0" applyNumberFormat="1" applyFont="1" applyFill="1" applyBorder="1" applyAlignment="1" applyProtection="1">
      <alignment horizontal="center" vertical="center"/>
      <protection locked="0"/>
    </xf>
    <xf numFmtId="49" fontId="12" fillId="4" borderId="30" xfId="0" applyNumberFormat="1" applyFont="1" applyFill="1" applyBorder="1" applyAlignment="1" applyProtection="1">
      <alignment horizontal="center" vertical="center" wrapText="1"/>
      <protection locked="0"/>
    </xf>
    <xf numFmtId="49" fontId="12" fillId="4" borderId="37" xfId="0" applyNumberFormat="1" applyFont="1" applyFill="1" applyBorder="1" applyAlignment="1" applyProtection="1">
      <alignment horizontal="center" vertical="center" wrapText="1"/>
      <protection locked="0"/>
    </xf>
    <xf numFmtId="49" fontId="12" fillId="4" borderId="21" xfId="0" applyNumberFormat="1" applyFont="1" applyFill="1" applyBorder="1" applyAlignment="1" applyProtection="1">
      <alignment horizontal="center" vertical="center" wrapText="1"/>
      <protection locked="0"/>
    </xf>
    <xf numFmtId="49" fontId="12" fillId="4" borderId="22" xfId="0" applyNumberFormat="1" applyFont="1" applyFill="1" applyBorder="1" applyAlignment="1" applyProtection="1">
      <alignment horizontal="center" vertical="center" wrapText="1"/>
      <protection locked="0"/>
    </xf>
    <xf numFmtId="49" fontId="12" fillId="4" borderId="14" xfId="0" applyNumberFormat="1" applyFont="1" applyFill="1" applyBorder="1" applyAlignment="1" applyProtection="1">
      <alignment horizontal="center" vertical="center" wrapText="1"/>
      <protection locked="0"/>
    </xf>
    <xf numFmtId="0" fontId="27" fillId="6" borderId="28" xfId="0" applyNumberFormat="1" applyFont="1" applyFill="1" applyBorder="1" applyAlignment="1" applyProtection="1">
      <alignment horizontal="center" vertical="center" wrapText="1"/>
      <protection locked="0"/>
    </xf>
    <xf numFmtId="0" fontId="27" fillId="6" borderId="29" xfId="0" applyNumberFormat="1" applyFont="1" applyFill="1" applyBorder="1" applyAlignment="1" applyProtection="1">
      <alignment horizontal="center" vertical="center" wrapText="1"/>
      <protection locked="0"/>
    </xf>
    <xf numFmtId="0" fontId="27" fillId="6" borderId="30" xfId="0" applyNumberFormat="1" applyFont="1" applyFill="1" applyBorder="1" applyAlignment="1" applyProtection="1">
      <alignment horizontal="center" vertical="center" wrapText="1"/>
      <protection locked="0"/>
    </xf>
    <xf numFmtId="0" fontId="27" fillId="6" borderId="37" xfId="0" applyNumberFormat="1" applyFont="1" applyFill="1" applyBorder="1" applyAlignment="1" applyProtection="1">
      <alignment horizontal="center" vertical="center" wrapText="1"/>
      <protection locked="0"/>
    </xf>
    <xf numFmtId="0" fontId="27" fillId="5" borderId="28" xfId="0" applyFont="1" applyFill="1" applyBorder="1" applyAlignment="1" applyProtection="1">
      <alignment horizontal="center" vertical="center" wrapText="1"/>
      <protection locked="0"/>
    </xf>
    <xf numFmtId="0" fontId="27" fillId="5" borderId="29" xfId="0" applyFont="1" applyFill="1" applyBorder="1" applyAlignment="1" applyProtection="1">
      <alignment horizontal="center" vertical="center" wrapText="1"/>
      <protection locked="0"/>
    </xf>
    <xf numFmtId="0" fontId="27" fillId="5" borderId="7" xfId="0" applyFont="1" applyFill="1" applyBorder="1" applyAlignment="1" applyProtection="1">
      <alignment horizontal="center" vertical="center" wrapText="1"/>
      <protection locked="0"/>
    </xf>
    <xf numFmtId="0" fontId="27" fillId="5" borderId="0" xfId="0" applyFont="1" applyFill="1" applyBorder="1" applyAlignment="1" applyProtection="1">
      <alignment horizontal="center" vertical="center" wrapText="1"/>
      <protection locked="0"/>
    </xf>
    <xf numFmtId="0" fontId="27" fillId="5" borderId="30" xfId="0" applyFont="1" applyFill="1" applyBorder="1" applyAlignment="1" applyProtection="1">
      <alignment horizontal="center" vertical="center" wrapText="1"/>
      <protection locked="0"/>
    </xf>
    <xf numFmtId="0" fontId="27" fillId="5" borderId="37" xfId="0" applyFont="1" applyFill="1" applyBorder="1" applyAlignment="1" applyProtection="1">
      <alignment horizontal="center" vertical="center" wrapText="1"/>
      <protection locked="0"/>
    </xf>
    <xf numFmtId="0" fontId="27" fillId="5" borderId="21" xfId="0" applyFont="1" applyFill="1" applyBorder="1" applyAlignment="1" applyProtection="1">
      <alignment horizontal="center" wrapText="1"/>
      <protection locked="0"/>
    </xf>
    <xf numFmtId="0" fontId="27" fillId="5" borderId="22" xfId="0" applyFont="1" applyFill="1" applyBorder="1" applyAlignment="1" applyProtection="1">
      <alignment horizontal="center" wrapText="1"/>
      <protection locked="0"/>
    </xf>
    <xf numFmtId="0" fontId="27" fillId="5" borderId="30" xfId="0" applyFont="1" applyFill="1" applyBorder="1" applyAlignment="1" applyProtection="1">
      <alignment horizontal="center" wrapText="1"/>
      <protection locked="0"/>
    </xf>
    <xf numFmtId="0" fontId="27" fillId="5" borderId="37" xfId="0" applyFont="1" applyFill="1" applyBorder="1" applyAlignment="1" applyProtection="1">
      <alignment horizontal="center" wrapText="1"/>
      <protection locked="0"/>
    </xf>
    <xf numFmtId="0" fontId="32" fillId="5" borderId="21" xfId="0" applyFont="1" applyFill="1" applyBorder="1" applyAlignment="1" applyProtection="1">
      <alignment horizontal="center" vertical="center" wrapText="1"/>
      <protection locked="0"/>
    </xf>
    <xf numFmtId="0" fontId="32" fillId="5" borderId="22" xfId="0" applyFont="1" applyFill="1" applyBorder="1" applyAlignment="1" applyProtection="1">
      <alignment horizontal="center" vertical="center" wrapText="1"/>
      <protection locked="0"/>
    </xf>
    <xf numFmtId="0" fontId="32" fillId="5" borderId="14" xfId="0" applyFont="1" applyFill="1" applyBorder="1" applyAlignment="1" applyProtection="1">
      <alignment horizontal="center" vertical="center" wrapText="1"/>
      <protection locked="0"/>
    </xf>
    <xf numFmtId="0" fontId="23" fillId="5" borderId="5" xfId="0" applyFont="1" applyFill="1" applyBorder="1" applyAlignment="1" applyProtection="1">
      <alignment horizontal="center" wrapText="1"/>
      <protection locked="0"/>
    </xf>
    <xf numFmtId="0" fontId="23" fillId="5" borderId="2" xfId="0" applyFont="1" applyFill="1" applyBorder="1" applyAlignment="1" applyProtection="1">
      <alignment horizontal="center" wrapText="1"/>
      <protection locked="0"/>
    </xf>
    <xf numFmtId="0" fontId="23" fillId="5" borderId="39" xfId="0" applyFont="1" applyFill="1" applyBorder="1" applyAlignment="1" applyProtection="1">
      <alignment horizontal="center" wrapText="1"/>
      <protection locked="0"/>
    </xf>
    <xf numFmtId="0" fontId="23" fillId="5" borderId="23" xfId="0" applyFont="1" applyFill="1" applyBorder="1" applyAlignment="1" applyProtection="1">
      <alignment horizontal="center" wrapText="1"/>
      <protection locked="0"/>
    </xf>
    <xf numFmtId="0" fontId="27" fillId="9" borderId="30" xfId="0" applyFont="1" applyFill="1" applyBorder="1" applyAlignment="1" applyProtection="1">
      <alignment horizontal="center" vertical="center" wrapText="1"/>
      <protection locked="0"/>
    </xf>
    <xf numFmtId="0" fontId="27" fillId="9" borderId="37" xfId="0" applyFont="1" applyFill="1" applyBorder="1" applyAlignment="1" applyProtection="1">
      <alignment horizontal="center" vertical="center" wrapText="1"/>
      <protection locked="0"/>
    </xf>
    <xf numFmtId="0" fontId="27" fillId="9" borderId="8" xfId="0" applyFont="1" applyFill="1" applyBorder="1" applyAlignment="1" applyProtection="1">
      <alignment horizontal="center" vertical="center" wrapText="1"/>
      <protection locked="0"/>
    </xf>
    <xf numFmtId="0" fontId="30" fillId="5" borderId="21" xfId="0" applyFont="1" applyFill="1" applyBorder="1" applyAlignment="1" applyProtection="1">
      <alignment horizontal="center" wrapText="1"/>
      <protection locked="0"/>
    </xf>
    <xf numFmtId="0" fontId="30" fillId="5" borderId="22" xfId="0" applyFont="1" applyFill="1" applyBorder="1" applyAlignment="1" applyProtection="1">
      <alignment horizontal="center" wrapText="1"/>
      <protection locked="0"/>
    </xf>
    <xf numFmtId="0" fontId="30" fillId="5" borderId="14" xfId="0" applyFont="1" applyFill="1" applyBorder="1" applyAlignment="1" applyProtection="1">
      <alignment horizontal="center" wrapText="1"/>
      <protection locked="0"/>
    </xf>
    <xf numFmtId="0" fontId="31" fillId="5" borderId="38" xfId="0" applyFont="1" applyFill="1" applyBorder="1" applyAlignment="1" applyProtection="1">
      <alignment horizontal="center" wrapText="1"/>
      <protection locked="0"/>
    </xf>
    <xf numFmtId="0" fontId="31" fillId="5" borderId="26" xfId="0" applyFont="1" applyFill="1" applyBorder="1" applyAlignment="1" applyProtection="1">
      <alignment horizontal="center" wrapText="1"/>
      <protection locked="0"/>
    </xf>
    <xf numFmtId="0" fontId="31" fillId="5" borderId="3" xfId="0" applyFont="1" applyFill="1" applyBorder="1" applyAlignment="1" applyProtection="1">
      <alignment horizontal="center" wrapText="1"/>
      <protection locked="0"/>
    </xf>
    <xf numFmtId="0" fontId="31" fillId="5" borderId="13" xfId="0" applyFont="1" applyFill="1" applyBorder="1" applyAlignment="1" applyProtection="1">
      <alignment horizontal="center" wrapText="1"/>
      <protection locked="0"/>
    </xf>
    <xf numFmtId="0" fontId="23" fillId="5" borderId="15" xfId="0" applyFont="1" applyFill="1" applyBorder="1" applyAlignment="1" applyProtection="1">
      <alignment horizontal="center" wrapText="1"/>
      <protection locked="0"/>
    </xf>
    <xf numFmtId="0" fontId="23" fillId="5" borderId="20" xfId="0" applyFont="1" applyFill="1" applyBorder="1" applyAlignment="1" applyProtection="1">
      <alignment horizontal="center" wrapText="1"/>
      <protection locked="0"/>
    </xf>
  </cellXfs>
  <cellStyles count="10">
    <cellStyle name="Hypertextové prepojenie 2" xfId="1" xr:uid="{00000000-0005-0000-0000-000000000000}"/>
    <cellStyle name="Normálna" xfId="0" builtinId="0"/>
    <cellStyle name="Normálna 2" xfId="2" xr:uid="{00000000-0005-0000-0000-000002000000}"/>
    <cellStyle name="Normálna 2 2" xfId="3" xr:uid="{00000000-0005-0000-0000-000003000000}"/>
    <cellStyle name="Normálna 2 3" xfId="8" xr:uid="{00000000-0005-0000-0000-000004000000}"/>
    <cellStyle name="Normálna 3" xfId="4" xr:uid="{00000000-0005-0000-0000-000005000000}"/>
    <cellStyle name="Normálna 3 2" xfId="9" xr:uid="{00000000-0005-0000-0000-000006000000}"/>
    <cellStyle name="Normálna 4" xfId="7" xr:uid="{00000000-0005-0000-0000-000007000000}"/>
    <cellStyle name="normální_List1" xfId="5" xr:uid="{00000000-0005-0000-0000-000008000000}"/>
    <cellStyle name="Percentá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95"/>
  <sheetViews>
    <sheetView tabSelected="1" zoomScale="80" zoomScaleNormal="80" zoomScaleSheetLayoutView="70" workbookViewId="0">
      <pane xSplit="6" ySplit="3" topLeftCell="L4" activePane="bottomRight" state="frozen"/>
      <selection pane="topRight" activeCell="G1" sqref="G1"/>
      <selection pane="bottomLeft" activeCell="A4" sqref="A4"/>
      <selection pane="bottomRight" activeCell="Z7" sqref="Z7"/>
    </sheetView>
  </sheetViews>
  <sheetFormatPr defaultColWidth="9.109375" defaultRowHeight="48.75" customHeight="1" x14ac:dyDescent="0.25"/>
  <cols>
    <col min="1" max="1" width="5.6640625" style="5" hidden="1" customWidth="1"/>
    <col min="2" max="2" width="6.88671875" style="121" customWidth="1"/>
    <col min="3" max="3" width="11.44140625" style="6" customWidth="1"/>
    <col min="4" max="4" width="10.88671875" style="6" customWidth="1"/>
    <col min="5" max="5" width="4.109375" style="167" customWidth="1"/>
    <col min="6" max="6" width="5.44140625" style="9" customWidth="1"/>
    <col min="7" max="7" width="12" style="10" customWidth="1"/>
    <col min="8" max="8" width="8.6640625" style="9" customWidth="1"/>
    <col min="9" max="9" width="11.88671875" style="7" customWidth="1"/>
    <col min="10" max="10" width="11.109375" style="7" customWidth="1"/>
    <col min="11" max="11" width="23.5546875" style="10" customWidth="1"/>
    <col min="12" max="12" width="23.6640625" style="162" customWidth="1"/>
    <col min="13" max="13" width="22.88671875" style="8" customWidth="1"/>
    <col min="14" max="14" width="5.33203125" style="52" customWidth="1"/>
    <col min="15" max="15" width="6" style="52" customWidth="1"/>
    <col min="16" max="16" width="10.44140625" style="32" customWidth="1"/>
    <col min="17" max="17" width="5.44140625" style="122" customWidth="1"/>
    <col min="18" max="18" width="6.6640625" style="8" customWidth="1"/>
    <col min="19" max="19" width="4.5546875" style="8" customWidth="1"/>
    <col min="20" max="20" width="4.6640625" style="8" customWidth="1"/>
    <col min="21" max="21" width="9" style="127" customWidth="1"/>
    <col min="22" max="22" width="11.6640625" style="124" customWidth="1"/>
    <col min="23" max="23" width="7.44140625" style="123" customWidth="1"/>
    <col min="24" max="24" width="7.109375" style="124" customWidth="1"/>
    <col min="25" max="25" width="8.88671875" style="128" customWidth="1"/>
    <col min="26" max="26" width="7.109375" style="124" customWidth="1"/>
    <col min="27" max="27" width="11.5546875" style="124" customWidth="1"/>
    <col min="28" max="28" width="7.6640625" style="128" customWidth="1"/>
    <col min="29" max="29" width="11.6640625" style="124" customWidth="1"/>
    <col min="30" max="30" width="12.109375" style="124" customWidth="1"/>
    <col min="31" max="31" width="21.6640625" style="124" customWidth="1"/>
    <col min="32" max="32" width="7.33203125" style="17" customWidth="1"/>
    <col min="33" max="33" width="11.5546875" style="33" customWidth="1"/>
    <col min="34" max="34" width="6.5546875" style="11" customWidth="1"/>
    <col min="35" max="36" width="9.109375" style="65"/>
    <col min="37" max="37" width="9.33203125" style="65" customWidth="1"/>
    <col min="38" max="38" width="9.88671875" style="65" customWidth="1"/>
    <col min="39" max="40" width="3.109375" style="65" customWidth="1"/>
    <col min="41" max="42" width="9.109375" style="65"/>
    <col min="43" max="43" width="9.44140625" style="65" customWidth="1"/>
    <col min="44" max="44" width="10" style="65" customWidth="1"/>
    <col min="45" max="45" width="3" style="65" customWidth="1"/>
    <col min="46" max="46" width="3.44140625" style="65" customWidth="1"/>
    <col min="47" max="47" width="9.109375" style="65"/>
    <col min="48" max="48" width="11.88671875" style="65" bestFit="1" customWidth="1"/>
    <col min="49" max="49" width="9" style="65" customWidth="1"/>
    <col min="50" max="50" width="9.88671875" style="65" customWidth="1"/>
    <col min="51" max="51" width="8" style="65" customWidth="1"/>
    <col min="52" max="16384" width="9.109375" style="1"/>
  </cols>
  <sheetData>
    <row r="1" spans="1:62" ht="32.25" customHeight="1" thickBot="1" x14ac:dyDescent="0.3">
      <c r="A1" s="83" t="s">
        <v>115</v>
      </c>
      <c r="B1" s="81"/>
      <c r="C1" s="81"/>
      <c r="D1" s="81"/>
      <c r="E1" s="165"/>
      <c r="F1" s="81"/>
      <c r="G1" s="81"/>
      <c r="H1" s="81"/>
      <c r="I1" s="81"/>
      <c r="J1" s="81"/>
      <c r="K1" s="81"/>
      <c r="L1" s="159"/>
      <c r="M1" s="81"/>
      <c r="N1" s="81"/>
      <c r="O1" s="81"/>
      <c r="P1" s="81"/>
      <c r="Q1" s="81"/>
      <c r="R1" s="81"/>
      <c r="S1" s="81"/>
      <c r="T1" s="81"/>
      <c r="U1" s="125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2"/>
      <c r="AG1" s="34"/>
      <c r="AH1" s="1"/>
      <c r="AY1" s="114"/>
    </row>
    <row r="2" spans="1:62" s="28" customFormat="1" ht="54" customHeight="1" thickBot="1" x14ac:dyDescent="0.3">
      <c r="A2" s="23"/>
      <c r="B2" s="47"/>
      <c r="C2" s="24"/>
      <c r="D2" s="24"/>
      <c r="E2" s="166"/>
      <c r="F2" s="22"/>
      <c r="G2" s="30"/>
      <c r="H2" s="29"/>
      <c r="I2" s="30"/>
      <c r="J2" s="30"/>
      <c r="K2" s="25"/>
      <c r="L2" s="160"/>
      <c r="M2" s="25"/>
      <c r="N2" s="263" t="s">
        <v>78</v>
      </c>
      <c r="O2" s="264"/>
      <c r="P2" s="263" t="s">
        <v>79</v>
      </c>
      <c r="Q2" s="264"/>
      <c r="R2" s="269" t="s">
        <v>80</v>
      </c>
      <c r="S2" s="270"/>
      <c r="T2" s="271"/>
      <c r="U2" s="126" t="s">
        <v>81</v>
      </c>
      <c r="V2" s="263" t="s">
        <v>75</v>
      </c>
      <c r="W2" s="268"/>
      <c r="X2" s="268"/>
      <c r="Y2" s="268"/>
      <c r="Z2" s="268"/>
      <c r="AA2" s="264"/>
      <c r="AB2" s="263" t="s">
        <v>74</v>
      </c>
      <c r="AC2" s="268"/>
      <c r="AD2" s="264"/>
      <c r="AE2" s="104" t="s">
        <v>76</v>
      </c>
      <c r="AF2" s="22"/>
      <c r="AG2" s="31"/>
      <c r="AY2" s="98"/>
    </row>
    <row r="3" spans="1:62" s="15" customFormat="1" ht="79.5" customHeight="1" thickBot="1" x14ac:dyDescent="0.25">
      <c r="A3" s="51" t="s">
        <v>6</v>
      </c>
      <c r="B3" s="48" t="s">
        <v>41</v>
      </c>
      <c r="C3" s="265" t="s">
        <v>58</v>
      </c>
      <c r="D3" s="266"/>
      <c r="E3" s="267"/>
      <c r="F3" s="235" t="s">
        <v>7</v>
      </c>
      <c r="G3" s="236" t="s">
        <v>4</v>
      </c>
      <c r="H3" s="237" t="s">
        <v>2</v>
      </c>
      <c r="I3" s="237" t="s">
        <v>5</v>
      </c>
      <c r="J3" s="237" t="s">
        <v>3</v>
      </c>
      <c r="K3" s="238" t="s">
        <v>1</v>
      </c>
      <c r="L3" s="239" t="s">
        <v>12</v>
      </c>
      <c r="M3" s="238" t="s">
        <v>9</v>
      </c>
      <c r="N3" s="240" t="s">
        <v>9</v>
      </c>
      <c r="O3" s="241" t="s">
        <v>10</v>
      </c>
      <c r="P3" s="43" t="s">
        <v>40</v>
      </c>
      <c r="Q3" s="85" t="s">
        <v>14</v>
      </c>
      <c r="R3" s="40" t="s">
        <v>13</v>
      </c>
      <c r="S3" s="46" t="s">
        <v>11</v>
      </c>
      <c r="T3" s="84" t="s">
        <v>0</v>
      </c>
      <c r="U3" s="131" t="s">
        <v>92</v>
      </c>
      <c r="V3" s="217" t="s">
        <v>69</v>
      </c>
      <c r="W3" s="44" t="s">
        <v>71</v>
      </c>
      <c r="X3" s="44" t="s">
        <v>70</v>
      </c>
      <c r="Y3" s="129" t="s">
        <v>91</v>
      </c>
      <c r="Z3" s="73" t="s">
        <v>72</v>
      </c>
      <c r="AA3" s="45" t="s">
        <v>73</v>
      </c>
      <c r="AB3" s="130" t="s">
        <v>91</v>
      </c>
      <c r="AC3" s="73" t="s">
        <v>72</v>
      </c>
      <c r="AD3" s="45" t="s">
        <v>73</v>
      </c>
      <c r="AE3" s="45" t="s">
        <v>73</v>
      </c>
      <c r="AF3" s="68" t="s">
        <v>28</v>
      </c>
      <c r="AG3" s="50"/>
      <c r="AY3" s="99"/>
    </row>
    <row r="4" spans="1:62" s="56" customFormat="1" ht="41.25" customHeight="1" x14ac:dyDescent="0.25">
      <c r="A4" s="152">
        <v>36</v>
      </c>
      <c r="B4" s="152" t="s">
        <v>62</v>
      </c>
      <c r="C4" s="183" t="s">
        <v>364</v>
      </c>
      <c r="D4" s="183" t="s">
        <v>308</v>
      </c>
      <c r="E4" s="184" t="s">
        <v>50</v>
      </c>
      <c r="F4" s="185" t="s">
        <v>471</v>
      </c>
      <c r="G4" s="195">
        <v>43262</v>
      </c>
      <c r="H4" s="188" t="s">
        <v>487</v>
      </c>
      <c r="I4" s="234" t="s">
        <v>19</v>
      </c>
      <c r="J4" s="219" t="s">
        <v>488</v>
      </c>
      <c r="K4" s="164" t="s">
        <v>222</v>
      </c>
      <c r="L4" s="161" t="s">
        <v>142</v>
      </c>
      <c r="M4" s="163" t="s">
        <v>152</v>
      </c>
      <c r="N4" s="179" t="s">
        <v>62</v>
      </c>
      <c r="O4" s="198" t="s">
        <v>62</v>
      </c>
      <c r="P4" s="199">
        <v>1.1299999999999999</v>
      </c>
      <c r="Q4" s="202">
        <v>1.1200000000000001</v>
      </c>
      <c r="R4" s="60"/>
      <c r="S4" s="60" t="s">
        <v>62</v>
      </c>
      <c r="T4" s="58"/>
      <c r="U4" s="132" t="str">
        <f t="shared" ref="U4:U35" si="0">IF(OR(V4&lt;&gt;"",Y4&lt;&gt;"",AB4&lt;&gt;""),"Navrh","")</f>
        <v>Navrh</v>
      </c>
      <c r="V4" s="55">
        <v>1</v>
      </c>
      <c r="W4" s="55" t="s">
        <v>523</v>
      </c>
      <c r="X4" s="54"/>
      <c r="Y4" s="226" t="str">
        <f>IF(Q4&lt;&gt;"",IF(Q4&lt;=1.2,IF(O4="A","CR",IF(V4&lt;&gt;"",IF(Parametre_2018!N$4=1,IF(LEFT(V4,1)="1",IF(V4&lt;&gt;"",IF(Parametre_2018!O$4&lt;&gt;"",IF(N4&lt;=Parametre_2018!O$4,IF(V4&lt;&gt;"",IF(Parametre_2018!P$4&lt;&gt;"",IF(O4&lt;=Parametre_2018!P$4,"PLD",""),"PLD"),""),""),IF(V4&lt;&gt;"",IF(Parametre_2018!P$4&lt;&gt;"",IF(O4&lt;=Parametre_2018!P$4,"PLD",""),"PLD"),"")),""),""),IF(V4&lt;&gt;"",IF(Parametre_2018!O$4&lt;&gt;"",IF(N4&lt;=Parametre_2018!O$4,IF(V4&lt;&gt;"",IF(Parametre_2018!P$4&lt;&gt;"",IF(O4&lt;=Parametre_2018!P$4,"PLD",""),"PLD"),""),""),IF(V4&lt;&gt;"",IF(Parametre_2018!P$4&lt;&gt;"",IF(O4&lt;=Parametre_2018!P$4,"PLD",""),"PLD"),"")),"")),"")),IF(V4&lt;&gt;"",IF(Parametre_2018!N$4=1,IF(LEFT(V4,1)="1",IF(V4&lt;&gt;"",IF(Parametre_2018!O$4&lt;&gt;"",IF(N4&lt;=Parametre_2018!O$4,IF(V4&lt;&gt;"",IF(Parametre_2018!P$4&lt;&gt;"",IF(O4&lt;=Parametre_2018!P$4,"PLD",""),"PLD"),""),""),IF(V4&lt;&gt;"",IF(Parametre_2018!P$4&lt;&gt;"",IF(O4&lt;=Parametre_2018!P$4,"PLD",""),"PLD"),"")),""),""),IF(V4&lt;&gt;"",IF(Parametre_2018!O$4&lt;&gt;"",IF(N4&lt;=Parametre_2018!O$4,IF(V4&lt;&gt;"",IF(Parametre_2018!P$4&lt;&gt;"",IF(O4&lt;=Parametre_2018!P$4,"PLD",""),"PLD"),""),""),IF(V4&lt;&gt;"",IF(Parametre_2018!P$4&lt;&gt;"",IF(O4&lt;=Parametre_2018!P$4,"PLD",""),"PLD"),"")),"")),"")),"")</f>
        <v>CR</v>
      </c>
      <c r="Z4" s="58" t="s">
        <v>539</v>
      </c>
      <c r="AA4" s="227" t="s">
        <v>539</v>
      </c>
      <c r="AB4" s="228" t="str">
        <f>IF(Q4&lt;&gt;"",IF(Q4&lt;=Parametre_2018!B$4,IF(Parametre_2018!C$4&lt;&gt;"",IF(N4&lt;=Parametre_2018!C$4,IF(Parametre_2018!D$4&lt;&gt;"",IF(O4&lt;=Parametre_2018!D$4,"MCL",IF(Parametre_2018!I$4&lt;&gt;"",IF(N4&lt;=Parametre_2018!I$4,IF(Parametre_2018!J$4&lt;&gt;"",IF(O4&lt;=Parametre_2018!J$4,"CL",""),"CL"),""),IF(Parametre_2018!J$4&lt;&gt;"",IF(O4&lt;=Parametre_2018!J$4,"CL",""),"CL"))),"MCL"),IF(Parametre_2018!I$4&lt;&gt;"",IF(N4&lt;=Parametre_2018!I$4,IF(Parametre_2018!J$4&lt;&gt;"",IF(O4&lt;=Parametre_2018!J$4,"CL",""),"CL"),""),IF(Parametre_2018!J$4&lt;&gt;"",IF(O4&lt;=Parametre_2018!J$4,"CL",""),"CL"))),IF(Parametre_2018!D$4&lt;&gt;"",IF(O4&lt;=Parametre_2018!D$4,"MCL",IF(Parametre_2018!I$4&lt;&gt;"",IF(N4&lt;=Parametre_2018!I$4,IF(Parametre_2018!J$4&lt;&gt;"",IF(O4&lt;=Parametre_2018!J$4,"CL",""),"CL"),""),IF(Parametre_2018!J$4&lt;&gt;"",IF(O4&lt;=Parametre_2018!J$4,"CL",""),"CL"))),"MCL")),IF(Q4&lt;&gt;"",IF(AND(Q4&gt;Parametre_2018!B$4,Q4&lt;=Parametre_2018!H$4),IF(Parametre_2018!I$4&lt;&gt;"",IF(N4&lt;=Parametre_2018!I$4,IF(Parametre_2018!J$4&lt;&gt;"",IF(O4&lt;=Parametre_2018!J$4,"CL",""),"CL"),""),IF(Parametre_2018!J$4&lt;&gt;"",IF(O4&lt;=Parametre_2018!J$4,"CL",""),"CL")),""),"")),"")</f>
        <v>MCL</v>
      </c>
      <c r="AC4" s="260"/>
      <c r="AD4" s="74"/>
      <c r="AE4" s="54" t="s">
        <v>552</v>
      </c>
      <c r="AF4" s="54"/>
      <c r="AY4" s="115"/>
      <c r="AZ4" s="57"/>
      <c r="BA4" s="57"/>
      <c r="BB4" s="57"/>
      <c r="BC4" s="57"/>
      <c r="BD4" s="57"/>
      <c r="BE4" s="57"/>
      <c r="BF4" s="57"/>
    </row>
    <row r="5" spans="1:62" s="61" customFormat="1" ht="41.25" customHeight="1" x14ac:dyDescent="0.25">
      <c r="A5" s="152">
        <v>46</v>
      </c>
      <c r="B5" s="152" t="s">
        <v>62</v>
      </c>
      <c r="C5" s="183" t="s">
        <v>379</v>
      </c>
      <c r="D5" s="183" t="s">
        <v>335</v>
      </c>
      <c r="E5" s="184" t="s">
        <v>50</v>
      </c>
      <c r="F5" s="185" t="s">
        <v>470</v>
      </c>
      <c r="G5" s="195">
        <v>43262</v>
      </c>
      <c r="H5" s="192" t="s">
        <v>498</v>
      </c>
      <c r="I5" s="192" t="s">
        <v>480</v>
      </c>
      <c r="J5" s="172" t="s">
        <v>499</v>
      </c>
      <c r="K5" s="164" t="s">
        <v>232</v>
      </c>
      <c r="L5" s="161" t="s">
        <v>146</v>
      </c>
      <c r="M5" s="163" t="s">
        <v>148</v>
      </c>
      <c r="N5" s="62" t="s">
        <v>62</v>
      </c>
      <c r="O5" s="198" t="s">
        <v>62</v>
      </c>
      <c r="P5" s="200">
        <v>1.23</v>
      </c>
      <c r="Q5" s="202">
        <v>1.18</v>
      </c>
      <c r="R5" s="59"/>
      <c r="S5" s="60"/>
      <c r="T5" s="55"/>
      <c r="U5" s="132" t="str">
        <f t="shared" si="0"/>
        <v>Navrh</v>
      </c>
      <c r="V5" s="55">
        <v>1</v>
      </c>
      <c r="W5" s="55" t="s">
        <v>62</v>
      </c>
      <c r="X5" s="54"/>
      <c r="Y5" s="226" t="str">
        <f>IF(Q5&lt;&gt;"",IF(Q5&lt;=1.2,IF(O5="A","CR",IF(V5&lt;&gt;"",IF(Parametre_2018!N$4=1,IF(LEFT(V5,1)="1",IF(V5&lt;&gt;"",IF(Parametre_2018!O$4&lt;&gt;"",IF(N5&lt;=Parametre_2018!O$4,IF(V5&lt;&gt;"",IF(Parametre_2018!P$4&lt;&gt;"",IF(O5&lt;=Parametre_2018!P$4,"PLD",""),"PLD"),""),""),IF(V5&lt;&gt;"",IF(Parametre_2018!P$4&lt;&gt;"",IF(O5&lt;=Parametre_2018!P$4,"PLD",""),"PLD"),"")),""),""),IF(V5&lt;&gt;"",IF(Parametre_2018!O$4&lt;&gt;"",IF(N5&lt;=Parametre_2018!O$4,IF(V5&lt;&gt;"",IF(Parametre_2018!P$4&lt;&gt;"",IF(O5&lt;=Parametre_2018!P$4,"PLD",""),"PLD"),""),""),IF(V5&lt;&gt;"",IF(Parametre_2018!P$4&lt;&gt;"",IF(O5&lt;=Parametre_2018!P$4,"PLD",""),"PLD"),"")),"")),"")),IF(V5&lt;&gt;"",IF(Parametre_2018!N$4=1,IF(LEFT(V5,1)="1",IF(V5&lt;&gt;"",IF(Parametre_2018!O$4&lt;&gt;"",IF(N5&lt;=Parametre_2018!O$4,IF(V5&lt;&gt;"",IF(Parametre_2018!P$4&lt;&gt;"",IF(O5&lt;=Parametre_2018!P$4,"PLD",""),"PLD"),""),""),IF(V5&lt;&gt;"",IF(Parametre_2018!P$4&lt;&gt;"",IF(O5&lt;=Parametre_2018!P$4,"PLD",""),"PLD"),"")),""),""),IF(V5&lt;&gt;"",IF(Parametre_2018!O$4&lt;&gt;"",IF(N5&lt;=Parametre_2018!O$4,IF(V5&lt;&gt;"",IF(Parametre_2018!P$4&lt;&gt;"",IF(O5&lt;=Parametre_2018!P$4,"PLD",""),"PLD"),""),""),IF(V5&lt;&gt;"",IF(Parametre_2018!P$4&lt;&gt;"",IF(O5&lt;=Parametre_2018!P$4,"PLD",""),"PLD"),"")),"")),"")),"")</f>
        <v>CR</v>
      </c>
      <c r="Z5" s="58" t="s">
        <v>539</v>
      </c>
      <c r="AA5" s="227" t="s">
        <v>539</v>
      </c>
      <c r="AB5" s="228" t="str">
        <f>IF(Q5&lt;&gt;"",IF(Q5&lt;=Parametre_2018!B$4,IF(Parametre_2018!C$4&lt;&gt;"",IF(N5&lt;=Parametre_2018!C$4,IF(Parametre_2018!D$4&lt;&gt;"",IF(O5&lt;=Parametre_2018!D$4,"MCL",IF(Parametre_2018!I$4&lt;&gt;"",IF(N5&lt;=Parametre_2018!I$4,IF(Parametre_2018!J$4&lt;&gt;"",IF(O5&lt;=Parametre_2018!J$4,"CL",""),"CL"),""),IF(Parametre_2018!J$4&lt;&gt;"",IF(O5&lt;=Parametre_2018!J$4,"CL",""),"CL"))),"MCL"),IF(Parametre_2018!I$4&lt;&gt;"",IF(N5&lt;=Parametre_2018!I$4,IF(Parametre_2018!J$4&lt;&gt;"",IF(O5&lt;=Parametre_2018!J$4,"CL",""),"CL"),""),IF(Parametre_2018!J$4&lt;&gt;"",IF(O5&lt;=Parametre_2018!J$4,"CL",""),"CL"))),IF(Parametre_2018!D$4&lt;&gt;"",IF(O5&lt;=Parametre_2018!D$4,"MCL",IF(Parametre_2018!I$4&lt;&gt;"",IF(N5&lt;=Parametre_2018!I$4,IF(Parametre_2018!J$4&lt;&gt;"",IF(O5&lt;=Parametre_2018!J$4,"CL",""),"CL"),""),IF(Parametre_2018!J$4&lt;&gt;"",IF(O5&lt;=Parametre_2018!J$4,"CL",""),"CL"))),"MCL")),IF(Q5&lt;&gt;"",IF(AND(Q5&gt;Parametre_2018!B$4,Q5&lt;=Parametre_2018!H$4),IF(Parametre_2018!I$4&lt;&gt;"",IF(N5&lt;=Parametre_2018!I$4,IF(Parametre_2018!J$4&lt;&gt;"",IF(O5&lt;=Parametre_2018!J$4,"CL",""),"CL"),""),IF(Parametre_2018!J$4&lt;&gt;"",IF(O5&lt;=Parametre_2018!J$4,"CL",""),"CL")),""),"")),"")</f>
        <v>CL</v>
      </c>
      <c r="AC5" s="89"/>
      <c r="AD5" s="74"/>
      <c r="AE5" s="54" t="s">
        <v>537</v>
      </c>
      <c r="AF5" s="54"/>
      <c r="AG5" s="56"/>
      <c r="AH5" s="64"/>
      <c r="AY5" s="11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</row>
    <row r="6" spans="1:62" s="56" customFormat="1" ht="41.25" customHeight="1" x14ac:dyDescent="0.25">
      <c r="A6" s="152">
        <v>26</v>
      </c>
      <c r="B6" s="152" t="s">
        <v>62</v>
      </c>
      <c r="C6" s="183" t="s">
        <v>348</v>
      </c>
      <c r="D6" s="183" t="s">
        <v>349</v>
      </c>
      <c r="E6" s="184" t="s">
        <v>50</v>
      </c>
      <c r="F6" s="185" t="s">
        <v>471</v>
      </c>
      <c r="G6" s="195">
        <v>43262</v>
      </c>
      <c r="H6" s="188" t="s">
        <v>487</v>
      </c>
      <c r="I6" s="188" t="s">
        <v>19</v>
      </c>
      <c r="J6" s="154" t="s">
        <v>488</v>
      </c>
      <c r="K6" s="164" t="s">
        <v>212</v>
      </c>
      <c r="L6" s="161" t="s">
        <v>132</v>
      </c>
      <c r="M6" s="163" t="s">
        <v>150</v>
      </c>
      <c r="N6" s="178" t="s">
        <v>62</v>
      </c>
      <c r="O6" s="198" t="s">
        <v>62</v>
      </c>
      <c r="P6" s="200">
        <v>1.23</v>
      </c>
      <c r="Q6" s="202">
        <v>1.22</v>
      </c>
      <c r="R6" s="207"/>
      <c r="S6" s="152"/>
      <c r="T6" s="152"/>
      <c r="U6" s="132" t="str">
        <f t="shared" si="0"/>
        <v>Navrh</v>
      </c>
      <c r="V6" s="55"/>
      <c r="W6" s="55" t="s">
        <v>62</v>
      </c>
      <c r="X6" s="58"/>
      <c r="Y6" s="226" t="str">
        <f>IF(Q6&lt;&gt;"",IF(Q6&lt;=1.2,IF(O6="A","CR",IF(V6&lt;&gt;"",IF(Parametre_2018!N$4=1,IF(LEFT(V6,1)="1",IF(V6&lt;&gt;"",IF(Parametre_2018!O$4&lt;&gt;"",IF(N6&lt;=Parametre_2018!O$4,IF(V6&lt;&gt;"",IF(Parametre_2018!P$4&lt;&gt;"",IF(O6&lt;=Parametre_2018!P$4,"PLD",""),"PLD"),""),""),IF(V6&lt;&gt;"",IF(Parametre_2018!P$4&lt;&gt;"",IF(O6&lt;=Parametre_2018!P$4,"PLD",""),"PLD"),"")),""),""),IF(V6&lt;&gt;"",IF(Parametre_2018!O$4&lt;&gt;"",IF(N6&lt;=Parametre_2018!O$4,IF(V6&lt;&gt;"",IF(Parametre_2018!P$4&lt;&gt;"",IF(O6&lt;=Parametre_2018!P$4,"PLD",""),"PLD"),""),""),IF(V6&lt;&gt;"",IF(Parametre_2018!P$4&lt;&gt;"",IF(O6&lt;=Parametre_2018!P$4,"PLD",""),"PLD"),"")),"")),"")),IF(V6&lt;&gt;"",IF(Parametre_2018!N$4=1,IF(LEFT(V6,1)="1",IF(V6&lt;&gt;"",IF(Parametre_2018!O$4&lt;&gt;"",IF(N6&lt;=Parametre_2018!O$4,IF(V6&lt;&gt;"",IF(Parametre_2018!P$4&lt;&gt;"",IF(O6&lt;=Parametre_2018!P$4,"PLD",""),"PLD"),""),""),IF(V6&lt;&gt;"",IF(Parametre_2018!P$4&lt;&gt;"",IF(O6&lt;=Parametre_2018!P$4,"PLD",""),"PLD"),"")),""),""),IF(V6&lt;&gt;"",IF(Parametre_2018!O$4&lt;&gt;"",IF(N6&lt;=Parametre_2018!O$4,IF(V6&lt;&gt;"",IF(Parametre_2018!P$4&lt;&gt;"",IF(O6&lt;=Parametre_2018!P$4,"PLD",""),"PLD"),""),""),IF(V6&lt;&gt;"",IF(Parametre_2018!P$4&lt;&gt;"",IF(O6&lt;=Parametre_2018!P$4,"PLD",""),"PLD"),"")),"")),"")),"")</f>
        <v/>
      </c>
      <c r="Z6" s="58" t="s">
        <v>538</v>
      </c>
      <c r="AA6" s="227" t="s">
        <v>548</v>
      </c>
      <c r="AB6" s="228" t="str">
        <f>IF(Q6&lt;&gt;"",IF(Q6&lt;=Parametre_2018!B$4,IF(Parametre_2018!C$4&lt;&gt;"",IF(N6&lt;=Parametre_2018!C$4,IF(Parametre_2018!D$4&lt;&gt;"",IF(O6&lt;=Parametre_2018!D$4,"MCL",IF(Parametre_2018!I$4&lt;&gt;"",IF(N6&lt;=Parametre_2018!I$4,IF(Parametre_2018!J$4&lt;&gt;"",IF(O6&lt;=Parametre_2018!J$4,"CL",""),"CL"),""),IF(Parametre_2018!J$4&lt;&gt;"",IF(O6&lt;=Parametre_2018!J$4,"CL",""),"CL"))),"MCL"),IF(Parametre_2018!I$4&lt;&gt;"",IF(N6&lt;=Parametre_2018!I$4,IF(Parametre_2018!J$4&lt;&gt;"",IF(O6&lt;=Parametre_2018!J$4,"CL",""),"CL"),""),IF(Parametre_2018!J$4&lt;&gt;"",IF(O6&lt;=Parametre_2018!J$4,"CL",""),"CL"))),IF(Parametre_2018!D$4&lt;&gt;"",IF(O6&lt;=Parametre_2018!D$4,"MCL",IF(Parametre_2018!I$4&lt;&gt;"",IF(N6&lt;=Parametre_2018!I$4,IF(Parametre_2018!J$4&lt;&gt;"",IF(O6&lt;=Parametre_2018!J$4,"CL",""),"CL"),""),IF(Parametre_2018!J$4&lt;&gt;"",IF(O6&lt;=Parametre_2018!J$4,"CL",""),"CL"))),"MCL")),IF(Q6&lt;&gt;"",IF(AND(Q6&gt;Parametre_2018!B$4,Q6&lt;=Parametre_2018!H$4),IF(Parametre_2018!I$4&lt;&gt;"",IF(N6&lt;=Parametre_2018!I$4,IF(Parametre_2018!J$4&lt;&gt;"",IF(O6&lt;=Parametre_2018!J$4,"CL",""),"CL"),""),IF(Parametre_2018!J$4&lt;&gt;"",IF(O6&lt;=Parametre_2018!J$4,"CL",""),"CL")),""),"")),"")</f>
        <v>CL</v>
      </c>
      <c r="AC6" s="89"/>
      <c r="AD6" s="74"/>
      <c r="AE6" s="77"/>
      <c r="AF6" s="54"/>
      <c r="AI6" s="116"/>
      <c r="AJ6" s="115"/>
      <c r="AK6" s="115"/>
      <c r="AL6" s="115"/>
      <c r="AM6" s="116"/>
      <c r="AN6" s="116"/>
      <c r="AO6" s="116"/>
      <c r="AP6" s="115"/>
      <c r="AQ6" s="116"/>
      <c r="AR6" s="116"/>
      <c r="AS6" s="116"/>
      <c r="AT6" s="116"/>
      <c r="AU6" s="61"/>
      <c r="AV6" s="61"/>
      <c r="AW6" s="116"/>
      <c r="AX6" s="116"/>
      <c r="AY6" s="116"/>
    </row>
    <row r="7" spans="1:62" s="56" customFormat="1" ht="41.25" customHeight="1" x14ac:dyDescent="0.25">
      <c r="A7" s="152">
        <v>9</v>
      </c>
      <c r="B7" s="204" t="s">
        <v>62</v>
      </c>
      <c r="C7" s="183" t="s">
        <v>319</v>
      </c>
      <c r="D7" s="183" t="s">
        <v>320</v>
      </c>
      <c r="E7" s="184" t="s">
        <v>50</v>
      </c>
      <c r="F7" s="185" t="s">
        <v>471</v>
      </c>
      <c r="G7" s="195">
        <v>43262</v>
      </c>
      <c r="H7" s="192" t="s">
        <v>500</v>
      </c>
      <c r="I7" s="192" t="s">
        <v>482</v>
      </c>
      <c r="J7" s="194" t="s">
        <v>501</v>
      </c>
      <c r="K7" s="164" t="s">
        <v>195</v>
      </c>
      <c r="L7" s="161" t="s">
        <v>124</v>
      </c>
      <c r="M7" s="163" t="s">
        <v>173</v>
      </c>
      <c r="N7" s="178" t="s">
        <v>62</v>
      </c>
      <c r="O7" s="198" t="s">
        <v>62</v>
      </c>
      <c r="P7" s="200">
        <v>1.4</v>
      </c>
      <c r="Q7" s="205">
        <v>1.3</v>
      </c>
      <c r="R7" s="152"/>
      <c r="S7" s="204" t="s">
        <v>62</v>
      </c>
      <c r="T7" s="152"/>
      <c r="U7" s="132" t="str">
        <f t="shared" si="0"/>
        <v>Navrh</v>
      </c>
      <c r="V7" s="55">
        <v>2</v>
      </c>
      <c r="W7" s="55"/>
      <c r="X7" s="58"/>
      <c r="Y7" s="226" t="str">
        <f>IF(Q7&lt;&gt;"",IF(Q7&lt;=1.2,IF(O7="A","CR",IF(V7&lt;&gt;"",IF(Parametre_2018!N$4=1,IF(LEFT(V7,1)="1",IF(V7&lt;&gt;"",IF(Parametre_2018!O$4&lt;&gt;"",IF(N7&lt;=Parametre_2018!O$4,IF(V7&lt;&gt;"",IF(Parametre_2018!P$4&lt;&gt;"",IF(O7&lt;=Parametre_2018!P$4,"PLD",""),"PLD"),""),""),IF(V7&lt;&gt;"",IF(Parametre_2018!P$4&lt;&gt;"",IF(O7&lt;=Parametre_2018!P$4,"PLD",""),"PLD"),"")),""),""),IF(V7&lt;&gt;"",IF(Parametre_2018!O$4&lt;&gt;"",IF(N7&lt;=Parametre_2018!O$4,IF(V7&lt;&gt;"",IF(Parametre_2018!P$4&lt;&gt;"",IF(O7&lt;=Parametre_2018!P$4,"PLD",""),"PLD"),""),""),IF(V7&lt;&gt;"",IF(Parametre_2018!P$4&lt;&gt;"",IF(O7&lt;=Parametre_2018!P$4,"PLD",""),"PLD"),"")),"")),"")),IF(V7&lt;&gt;"",IF(Parametre_2018!N$4=1,IF(LEFT(V7,1)="1",IF(V7&lt;&gt;"",IF(Parametre_2018!O$4&lt;&gt;"",IF(N7&lt;=Parametre_2018!O$4,IF(V7&lt;&gt;"",IF(Parametre_2018!P$4&lt;&gt;"",IF(O7&lt;=Parametre_2018!P$4,"PLD",""),"PLD"),""),""),IF(V7&lt;&gt;"",IF(Parametre_2018!P$4&lt;&gt;"",IF(O7&lt;=Parametre_2018!P$4,"PLD",""),"PLD"),"")),""),""),IF(V7&lt;&gt;"",IF(Parametre_2018!O$4&lt;&gt;"",IF(N7&lt;=Parametre_2018!O$4,IF(V7&lt;&gt;"",IF(Parametre_2018!P$4&lt;&gt;"",IF(O7&lt;=Parametre_2018!P$4,"PLD",""),"PLD"),""),""),IF(V7&lt;&gt;"",IF(Parametre_2018!P$4&lt;&gt;"",IF(O7&lt;=Parametre_2018!P$4,"PLD",""),"PLD"),"")),"")),"")),"")</f>
        <v>PLD</v>
      </c>
      <c r="Z7" s="58" t="s">
        <v>538</v>
      </c>
      <c r="AA7" s="227" t="s">
        <v>533</v>
      </c>
      <c r="AB7" s="228" t="str">
        <f>IF(Q7&lt;&gt;"",IF(Q7&lt;=Parametre_2018!B$4,IF(Parametre_2018!C$4&lt;&gt;"",IF(N7&lt;=Parametre_2018!C$4,IF(Parametre_2018!D$4&lt;&gt;"",IF(O7&lt;=Parametre_2018!D$4,"MCL",IF(Parametre_2018!I$4&lt;&gt;"",IF(N7&lt;=Parametre_2018!I$4,IF(Parametre_2018!J$4&lt;&gt;"",IF(O7&lt;=Parametre_2018!J$4,"CL",""),"CL"),""),IF(Parametre_2018!J$4&lt;&gt;"",IF(O7&lt;=Parametre_2018!J$4,"CL",""),"CL"))),"MCL"),IF(Parametre_2018!I$4&lt;&gt;"",IF(N7&lt;=Parametre_2018!I$4,IF(Parametre_2018!J$4&lt;&gt;"",IF(O7&lt;=Parametre_2018!J$4,"CL",""),"CL"),""),IF(Parametre_2018!J$4&lt;&gt;"",IF(O7&lt;=Parametre_2018!J$4,"CL",""),"CL"))),IF(Parametre_2018!D$4&lt;&gt;"",IF(O7&lt;=Parametre_2018!D$4,"MCL",IF(Parametre_2018!I$4&lt;&gt;"",IF(N7&lt;=Parametre_2018!I$4,IF(Parametre_2018!J$4&lt;&gt;"",IF(O7&lt;=Parametre_2018!J$4,"CL",""),"CL"),""),IF(Parametre_2018!J$4&lt;&gt;"",IF(O7&lt;=Parametre_2018!J$4,"CL",""),"CL"))),"MCL")),IF(Q7&lt;&gt;"",IF(AND(Q7&gt;Parametre_2018!B$4,Q7&lt;=Parametre_2018!H$4),IF(Parametre_2018!I$4&lt;&gt;"",IF(N7&lt;=Parametre_2018!I$4,IF(Parametre_2018!J$4&lt;&gt;"",IF(O7&lt;=Parametre_2018!J$4,"CL",""),"CL"),""),IF(Parametre_2018!J$4&lt;&gt;"",IF(O7&lt;=Parametre_2018!J$4,"CL",""),"CL")),""),"")),"")</f>
        <v>CL</v>
      </c>
      <c r="AC7" s="89"/>
      <c r="AD7" s="74"/>
      <c r="AE7" s="54" t="s">
        <v>537</v>
      </c>
      <c r="AF7" s="54"/>
      <c r="AI7" s="116"/>
      <c r="AJ7" s="115"/>
      <c r="AK7" s="115"/>
      <c r="AL7" s="115"/>
      <c r="AM7" s="116"/>
      <c r="AN7" s="116"/>
      <c r="AO7" s="116"/>
      <c r="AP7" s="115"/>
      <c r="AQ7" s="116"/>
      <c r="AR7" s="116"/>
      <c r="AS7" s="116"/>
      <c r="AT7" s="116"/>
      <c r="AU7" s="61"/>
      <c r="AV7" s="61"/>
      <c r="AW7" s="116"/>
      <c r="AX7" s="116"/>
      <c r="AY7" s="116"/>
      <c r="BG7" s="53"/>
      <c r="BH7" s="53"/>
      <c r="BI7" s="53"/>
      <c r="BJ7" s="53"/>
    </row>
    <row r="8" spans="1:62" s="56" customFormat="1" ht="41.25" customHeight="1" x14ac:dyDescent="0.25">
      <c r="A8" s="152">
        <v>70</v>
      </c>
      <c r="B8" s="152" t="s">
        <v>62</v>
      </c>
      <c r="C8" s="183" t="s">
        <v>409</v>
      </c>
      <c r="D8" s="183" t="s">
        <v>335</v>
      </c>
      <c r="E8" s="184" t="s">
        <v>50</v>
      </c>
      <c r="F8" s="185" t="s">
        <v>471</v>
      </c>
      <c r="G8" s="195">
        <v>43262</v>
      </c>
      <c r="H8" s="188" t="s">
        <v>487</v>
      </c>
      <c r="I8" s="234" t="s">
        <v>19</v>
      </c>
      <c r="J8" s="219" t="s">
        <v>488</v>
      </c>
      <c r="K8" s="164" t="s">
        <v>256</v>
      </c>
      <c r="L8" s="161" t="s">
        <v>156</v>
      </c>
      <c r="M8" s="163" t="s">
        <v>138</v>
      </c>
      <c r="N8" s="178" t="s">
        <v>62</v>
      </c>
      <c r="O8" s="198" t="s">
        <v>62</v>
      </c>
      <c r="P8" s="200">
        <v>1.38</v>
      </c>
      <c r="Q8" s="203">
        <v>1.3</v>
      </c>
      <c r="R8" s="214" t="s">
        <v>93</v>
      </c>
      <c r="S8" s="153"/>
      <c r="T8" s="153"/>
      <c r="U8" s="132" t="str">
        <f t="shared" si="0"/>
        <v>Navrh</v>
      </c>
      <c r="V8" s="152"/>
      <c r="W8" s="204" t="s">
        <v>62</v>
      </c>
      <c r="X8" s="153"/>
      <c r="Y8" s="226" t="str">
        <f>IF(Q8&lt;&gt;"",IF(Q8&lt;=1.2,IF(O8="A","CR",IF(V8&lt;&gt;"",IF(Parametre_2018!N$4=1,IF(LEFT(V8,1)="1",IF(V8&lt;&gt;"",IF(Parametre_2018!O$4&lt;&gt;"",IF(N8&lt;=Parametre_2018!O$4,IF(V8&lt;&gt;"",IF(Parametre_2018!P$4&lt;&gt;"",IF(O8&lt;=Parametre_2018!P$4,"PLD",""),"PLD"),""),""),IF(V8&lt;&gt;"",IF(Parametre_2018!P$4&lt;&gt;"",IF(O8&lt;=Parametre_2018!P$4,"PLD",""),"PLD"),"")),""),""),IF(V8&lt;&gt;"",IF(Parametre_2018!O$4&lt;&gt;"",IF(N8&lt;=Parametre_2018!O$4,IF(V8&lt;&gt;"",IF(Parametre_2018!P$4&lt;&gt;"",IF(O8&lt;=Parametre_2018!P$4,"PLD",""),"PLD"),""),""),IF(V8&lt;&gt;"",IF(Parametre_2018!P$4&lt;&gt;"",IF(O8&lt;=Parametre_2018!P$4,"PLD",""),"PLD"),"")),"")),"")),IF(V8&lt;&gt;"",IF(Parametre_2018!N$4=1,IF(LEFT(V8,1)="1",IF(V8&lt;&gt;"",IF(Parametre_2018!O$4&lt;&gt;"",IF(N8&lt;=Parametre_2018!O$4,IF(V8&lt;&gt;"",IF(Parametre_2018!P$4&lt;&gt;"",IF(O8&lt;=Parametre_2018!P$4,"PLD",""),"PLD"),""),""),IF(V8&lt;&gt;"",IF(Parametre_2018!P$4&lt;&gt;"",IF(O8&lt;=Parametre_2018!P$4,"PLD",""),"PLD"),"")),""),""),IF(V8&lt;&gt;"",IF(Parametre_2018!O$4&lt;&gt;"",IF(N8&lt;=Parametre_2018!O$4,IF(V8&lt;&gt;"",IF(Parametre_2018!P$4&lt;&gt;"",IF(O8&lt;=Parametre_2018!P$4,"PLD",""),"PLD"),""),""),IF(V8&lt;&gt;"",IF(Parametre_2018!P$4&lt;&gt;"",IF(O8&lt;=Parametre_2018!P$4,"PLD",""),"PLD"),"")),"")),"")),"")</f>
        <v/>
      </c>
      <c r="Z8" s="262" t="s">
        <v>535</v>
      </c>
      <c r="AA8" s="227" t="s">
        <v>549</v>
      </c>
      <c r="AB8" s="228" t="str">
        <f>IF(Q8&lt;&gt;"",IF(Q8&lt;=Parametre_2018!B$4,IF(Parametre_2018!C$4&lt;&gt;"",IF(N8&lt;=Parametre_2018!C$4,IF(Parametre_2018!D$4&lt;&gt;"",IF(O8&lt;=Parametre_2018!D$4,"MCL",IF(Parametre_2018!I$4&lt;&gt;"",IF(N8&lt;=Parametre_2018!I$4,IF(Parametre_2018!J$4&lt;&gt;"",IF(O8&lt;=Parametre_2018!J$4,"CL",""),"CL"),""),IF(Parametre_2018!J$4&lt;&gt;"",IF(O8&lt;=Parametre_2018!J$4,"CL",""),"CL"))),"MCL"),IF(Parametre_2018!I$4&lt;&gt;"",IF(N8&lt;=Parametre_2018!I$4,IF(Parametre_2018!J$4&lt;&gt;"",IF(O8&lt;=Parametre_2018!J$4,"CL",""),"CL"),""),IF(Parametre_2018!J$4&lt;&gt;"",IF(O8&lt;=Parametre_2018!J$4,"CL",""),"CL"))),IF(Parametre_2018!D$4&lt;&gt;"",IF(O8&lt;=Parametre_2018!D$4,"MCL",IF(Parametre_2018!I$4&lt;&gt;"",IF(N8&lt;=Parametre_2018!I$4,IF(Parametre_2018!J$4&lt;&gt;"",IF(O8&lt;=Parametre_2018!J$4,"CL",""),"CL"),""),IF(Parametre_2018!J$4&lt;&gt;"",IF(O8&lt;=Parametre_2018!J$4,"CL",""),"CL"))),"MCL")),IF(Q8&lt;&gt;"",IF(AND(Q8&gt;Parametre_2018!B$4,Q8&lt;=Parametre_2018!H$4),IF(Parametre_2018!I$4&lt;&gt;"",IF(N8&lt;=Parametre_2018!I$4,IF(Parametre_2018!J$4&lt;&gt;"",IF(O8&lt;=Parametre_2018!J$4,"CL",""),"CL"),""),IF(Parametre_2018!J$4&lt;&gt;"",IF(O8&lt;=Parametre_2018!J$4,"CL",""),"CL")),""),"")),"")</f>
        <v>CL</v>
      </c>
      <c r="AC8" s="153"/>
      <c r="AD8" s="74"/>
      <c r="AE8" s="153"/>
      <c r="AF8" s="153"/>
      <c r="AI8" s="116"/>
      <c r="AJ8" s="115"/>
      <c r="AK8" s="115"/>
      <c r="AL8" s="115"/>
      <c r="AM8" s="116"/>
      <c r="AN8" s="116"/>
      <c r="AO8" s="116"/>
      <c r="AP8" s="115"/>
      <c r="AQ8" s="116"/>
      <c r="AR8" s="116"/>
      <c r="AS8" s="116"/>
      <c r="AT8" s="116"/>
      <c r="AU8" s="61"/>
      <c r="AV8" s="61"/>
      <c r="AW8" s="116"/>
      <c r="AX8" s="116"/>
      <c r="AY8" s="116"/>
    </row>
    <row r="9" spans="1:62" s="56" customFormat="1" ht="41.25" customHeight="1" x14ac:dyDescent="0.25">
      <c r="A9" s="152">
        <v>105</v>
      </c>
      <c r="B9" s="152" t="s">
        <v>504</v>
      </c>
      <c r="C9" s="183" t="s">
        <v>455</v>
      </c>
      <c r="D9" s="183" t="s">
        <v>456</v>
      </c>
      <c r="E9" s="184" t="s">
        <v>50</v>
      </c>
      <c r="F9" s="185" t="s">
        <v>471</v>
      </c>
      <c r="G9" s="195">
        <v>43262</v>
      </c>
      <c r="H9" s="188" t="s">
        <v>487</v>
      </c>
      <c r="I9" s="234" t="s">
        <v>19</v>
      </c>
      <c r="J9" s="219" t="s">
        <v>488</v>
      </c>
      <c r="K9" s="164" t="s">
        <v>291</v>
      </c>
      <c r="L9" s="161" t="s">
        <v>142</v>
      </c>
      <c r="M9" s="163" t="s">
        <v>133</v>
      </c>
      <c r="N9" s="178" t="s">
        <v>60</v>
      </c>
      <c r="O9" s="198" t="s">
        <v>62</v>
      </c>
      <c r="P9" s="200">
        <v>1.35</v>
      </c>
      <c r="Q9" s="202">
        <v>1.32</v>
      </c>
      <c r="R9" s="213"/>
      <c r="S9" s="174"/>
      <c r="T9" s="174"/>
      <c r="U9" s="132" t="str">
        <f t="shared" si="0"/>
        <v>Navrh</v>
      </c>
      <c r="V9" s="152"/>
      <c r="W9" s="152"/>
      <c r="X9" s="204" t="s">
        <v>62</v>
      </c>
      <c r="Y9" s="226" t="str">
        <f>IF(Q9&lt;&gt;"",IF(Q9&lt;=1.2,IF(O9="A","CR",IF(V9&lt;&gt;"",IF(Parametre_2018!N$4=1,IF(LEFT(V9,1)="1",IF(V9&lt;&gt;"",IF(Parametre_2018!O$4&lt;&gt;"",IF(N9&lt;=Parametre_2018!O$4,IF(V9&lt;&gt;"",IF(Parametre_2018!P$4&lt;&gt;"",IF(O9&lt;=Parametre_2018!P$4,"PLD",""),"PLD"),""),""),IF(V9&lt;&gt;"",IF(Parametre_2018!P$4&lt;&gt;"",IF(O9&lt;=Parametre_2018!P$4,"PLD",""),"PLD"),"")),""),""),IF(V9&lt;&gt;"",IF(Parametre_2018!O$4&lt;&gt;"",IF(N9&lt;=Parametre_2018!O$4,IF(V9&lt;&gt;"",IF(Parametre_2018!P$4&lt;&gt;"",IF(O9&lt;=Parametre_2018!P$4,"PLD",""),"PLD"),""),""),IF(V9&lt;&gt;"",IF(Parametre_2018!P$4&lt;&gt;"",IF(O9&lt;=Parametre_2018!P$4,"PLD",""),"PLD"),"")),"")),"")),IF(V9&lt;&gt;"",IF(Parametre_2018!N$4=1,IF(LEFT(V9,1)="1",IF(V9&lt;&gt;"",IF(Parametre_2018!O$4&lt;&gt;"",IF(N9&lt;=Parametre_2018!O$4,IF(V9&lt;&gt;"",IF(Parametre_2018!P$4&lt;&gt;"",IF(O9&lt;=Parametre_2018!P$4,"PLD",""),"PLD"),""),""),IF(V9&lt;&gt;"",IF(Parametre_2018!P$4&lt;&gt;"",IF(O9&lt;=Parametre_2018!P$4,"PLD",""),"PLD"),"")),""),""),IF(V9&lt;&gt;"",IF(Parametre_2018!O$4&lt;&gt;"",IF(N9&lt;=Parametre_2018!O$4,IF(V9&lt;&gt;"",IF(Parametre_2018!P$4&lt;&gt;"",IF(O9&lt;=Parametre_2018!P$4,"PLD",""),"PLD"),""),""),IF(V9&lt;&gt;"",IF(Parametre_2018!P$4&lt;&gt;"",IF(O9&lt;=Parametre_2018!P$4,"PLD",""),"PLD"),"")),"")),"")),"")</f>
        <v/>
      </c>
      <c r="Z9" s="152"/>
      <c r="AA9" s="227"/>
      <c r="AB9" s="228" t="str">
        <f>IF(Q9&lt;&gt;"",IF(Q9&lt;=Parametre_2018!B$4,IF(Parametre_2018!C$4&lt;&gt;"",IF(N9&lt;=Parametre_2018!C$4,IF(Parametre_2018!D$4&lt;&gt;"",IF(O9&lt;=Parametre_2018!D$4,"MCL",IF(Parametre_2018!I$4&lt;&gt;"",IF(N9&lt;=Parametre_2018!I$4,IF(Parametre_2018!J$4&lt;&gt;"",IF(O9&lt;=Parametre_2018!J$4,"CL",""),"CL"),""),IF(Parametre_2018!J$4&lt;&gt;"",IF(O9&lt;=Parametre_2018!J$4,"CL",""),"CL"))),"MCL"),IF(Parametre_2018!I$4&lt;&gt;"",IF(N9&lt;=Parametre_2018!I$4,IF(Parametre_2018!J$4&lt;&gt;"",IF(O9&lt;=Parametre_2018!J$4,"CL",""),"CL"),""),IF(Parametre_2018!J$4&lt;&gt;"",IF(O9&lt;=Parametre_2018!J$4,"CL",""),"CL"))),IF(Parametre_2018!D$4&lt;&gt;"",IF(O9&lt;=Parametre_2018!D$4,"MCL",IF(Parametre_2018!I$4&lt;&gt;"",IF(N9&lt;=Parametre_2018!I$4,IF(Parametre_2018!J$4&lt;&gt;"",IF(O9&lt;=Parametre_2018!J$4,"CL",""),"CL"),""),IF(Parametre_2018!J$4&lt;&gt;"",IF(O9&lt;=Parametre_2018!J$4,"CL",""),"CL"))),"MCL")),IF(Q9&lt;&gt;"",IF(AND(Q9&gt;Parametre_2018!B$4,Q9&lt;=Parametre_2018!H$4),IF(Parametre_2018!I$4&lt;&gt;"",IF(N9&lt;=Parametre_2018!I$4,IF(Parametre_2018!J$4&lt;&gt;"",IF(O9&lt;=Parametre_2018!J$4,"CL",""),"CL"),""),IF(Parametre_2018!J$4&lt;&gt;"",IF(O9&lt;=Parametre_2018!J$4,"CL",""),"CL")),""),"")),"")</f>
        <v>CL</v>
      </c>
      <c r="AC9" s="155"/>
      <c r="AD9" s="74"/>
      <c r="AE9" s="155"/>
      <c r="AF9" s="17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61"/>
      <c r="AV9" s="61"/>
      <c r="AW9" s="115"/>
      <c r="AX9" s="115"/>
      <c r="AY9" s="115"/>
      <c r="BG9" s="53"/>
      <c r="BH9" s="53"/>
      <c r="BI9" s="53"/>
      <c r="BJ9" s="53"/>
    </row>
    <row r="10" spans="1:62" s="56" customFormat="1" ht="41.25" customHeight="1" x14ac:dyDescent="0.3">
      <c r="A10" s="152">
        <v>61</v>
      </c>
      <c r="B10" s="152" t="s">
        <v>62</v>
      </c>
      <c r="C10" s="183" t="s">
        <v>398</v>
      </c>
      <c r="D10" s="183" t="s">
        <v>373</v>
      </c>
      <c r="E10" s="184" t="s">
        <v>50</v>
      </c>
      <c r="F10" s="185" t="s">
        <v>471</v>
      </c>
      <c r="G10" s="195">
        <v>43262</v>
      </c>
      <c r="H10" s="192" t="s">
        <v>500</v>
      </c>
      <c r="I10" s="192" t="s">
        <v>482</v>
      </c>
      <c r="J10" s="194" t="s">
        <v>501</v>
      </c>
      <c r="K10" s="164" t="s">
        <v>247</v>
      </c>
      <c r="L10" s="161" t="s">
        <v>124</v>
      </c>
      <c r="M10" s="163" t="s">
        <v>135</v>
      </c>
      <c r="N10" s="178" t="s">
        <v>62</v>
      </c>
      <c r="O10" s="198" t="s">
        <v>62</v>
      </c>
      <c r="P10" s="200">
        <v>1.39</v>
      </c>
      <c r="Q10" s="202">
        <v>1.33</v>
      </c>
      <c r="R10" s="214" t="s">
        <v>95</v>
      </c>
      <c r="S10" s="204" t="s">
        <v>62</v>
      </c>
      <c r="T10" s="204"/>
      <c r="U10" s="132" t="str">
        <f t="shared" si="0"/>
        <v>Navrh</v>
      </c>
      <c r="V10" s="204">
        <v>1</v>
      </c>
      <c r="W10" s="204" t="s">
        <v>62</v>
      </c>
      <c r="X10" s="204" t="s">
        <v>62</v>
      </c>
      <c r="Y10" s="226" t="str">
        <f>IF(Q10&lt;&gt;"",IF(Q10&lt;=1.2,IF(O10="A","CR",IF(V10&lt;&gt;"",IF(Parametre_2018!N$4=1,IF(LEFT(V10,1)="1",IF(V10&lt;&gt;"",IF(Parametre_2018!O$4&lt;&gt;"",IF(N10&lt;=Parametre_2018!O$4,IF(V10&lt;&gt;"",IF(Parametre_2018!P$4&lt;&gt;"",IF(O10&lt;=Parametre_2018!P$4,"PLD",""),"PLD"),""),""),IF(V10&lt;&gt;"",IF(Parametre_2018!P$4&lt;&gt;"",IF(O10&lt;=Parametre_2018!P$4,"PLD",""),"PLD"),"")),""),""),IF(V10&lt;&gt;"",IF(Parametre_2018!O$4&lt;&gt;"",IF(N10&lt;=Parametre_2018!O$4,IF(V10&lt;&gt;"",IF(Parametre_2018!P$4&lt;&gt;"",IF(O10&lt;=Parametre_2018!P$4,"PLD",""),"PLD"),""),""),IF(V10&lt;&gt;"",IF(Parametre_2018!P$4&lt;&gt;"",IF(O10&lt;=Parametre_2018!P$4,"PLD",""),"PLD"),"")),"")),"")),IF(V10&lt;&gt;"",IF(Parametre_2018!N$4=1,IF(LEFT(V10,1)="1",IF(V10&lt;&gt;"",IF(Parametre_2018!O$4&lt;&gt;"",IF(N10&lt;=Parametre_2018!O$4,IF(V10&lt;&gt;"",IF(Parametre_2018!P$4&lt;&gt;"",IF(O10&lt;=Parametre_2018!P$4,"PLD",""),"PLD"),""),""),IF(V10&lt;&gt;"",IF(Parametre_2018!P$4&lt;&gt;"",IF(O10&lt;=Parametre_2018!P$4,"PLD",""),"PLD"),"")),""),""),IF(V10&lt;&gt;"",IF(Parametre_2018!O$4&lt;&gt;"",IF(N10&lt;=Parametre_2018!O$4,IF(V10&lt;&gt;"",IF(Parametre_2018!P$4&lt;&gt;"",IF(O10&lt;=Parametre_2018!P$4,"PLD",""),"PLD"),""),""),IF(V10&lt;&gt;"",IF(Parametre_2018!P$4&lt;&gt;"",IF(O10&lt;=Parametre_2018!P$4,"PLD",""),"PLD"),"")),"")),"")),"")</f>
        <v>PLD</v>
      </c>
      <c r="Z10" s="58" t="s">
        <v>533</v>
      </c>
      <c r="AA10" s="227" t="s">
        <v>533</v>
      </c>
      <c r="AB10" s="228" t="str">
        <f>IF(Q10&lt;&gt;"",IF(Q10&lt;=Parametre_2018!B$4,IF(Parametre_2018!C$4&lt;&gt;"",IF(N10&lt;=Parametre_2018!C$4,IF(Parametre_2018!D$4&lt;&gt;"",IF(O10&lt;=Parametre_2018!D$4,"MCL",IF(Parametre_2018!I$4&lt;&gt;"",IF(N10&lt;=Parametre_2018!I$4,IF(Parametre_2018!J$4&lt;&gt;"",IF(O10&lt;=Parametre_2018!J$4,"CL",""),"CL"),""),IF(Parametre_2018!J$4&lt;&gt;"",IF(O10&lt;=Parametre_2018!J$4,"CL",""),"CL"))),"MCL"),IF(Parametre_2018!I$4&lt;&gt;"",IF(N10&lt;=Parametre_2018!I$4,IF(Parametre_2018!J$4&lt;&gt;"",IF(O10&lt;=Parametre_2018!J$4,"CL",""),"CL"),""),IF(Parametre_2018!J$4&lt;&gt;"",IF(O10&lt;=Parametre_2018!J$4,"CL",""),"CL"))),IF(Parametre_2018!D$4&lt;&gt;"",IF(O10&lt;=Parametre_2018!D$4,"MCL",IF(Parametre_2018!I$4&lt;&gt;"",IF(N10&lt;=Parametre_2018!I$4,IF(Parametre_2018!J$4&lt;&gt;"",IF(O10&lt;=Parametre_2018!J$4,"CL",""),"CL"),""),IF(Parametre_2018!J$4&lt;&gt;"",IF(O10&lt;=Parametre_2018!J$4,"CL",""),"CL"))),"MCL")),IF(Q10&lt;&gt;"",IF(AND(Q10&gt;Parametre_2018!B$4,Q10&lt;=Parametre_2018!H$4),IF(Parametre_2018!I$4&lt;&gt;"",IF(N10&lt;=Parametre_2018!I$4,IF(Parametre_2018!J$4&lt;&gt;"",IF(O10&lt;=Parametre_2018!J$4,"CL",""),"CL"),""),IF(Parametre_2018!J$4&lt;&gt;"",IF(O10&lt;=Parametre_2018!J$4,"CL",""),"CL")),""),"")),"")</f>
        <v>CL</v>
      </c>
      <c r="AC10" s="171"/>
      <c r="AD10" s="74"/>
      <c r="AE10" s="54" t="s">
        <v>537</v>
      </c>
      <c r="AF10" s="171"/>
      <c r="AI10" s="116"/>
      <c r="AJ10" s="116"/>
      <c r="AK10" s="117"/>
      <c r="AL10" s="116"/>
      <c r="AM10" s="116"/>
      <c r="AN10" s="116"/>
      <c r="AO10" s="116"/>
      <c r="AP10" s="115"/>
      <c r="AQ10" s="116"/>
      <c r="AR10" s="116"/>
      <c r="AS10" s="116"/>
      <c r="AT10" s="116"/>
      <c r="AU10" s="61"/>
      <c r="AV10" s="61"/>
      <c r="AW10" s="116"/>
      <c r="AX10" s="116"/>
      <c r="AY10" s="116"/>
      <c r="BG10" s="53"/>
      <c r="BH10" s="53"/>
      <c r="BI10" s="53"/>
      <c r="BJ10" s="53"/>
    </row>
    <row r="11" spans="1:62" s="64" customFormat="1" ht="41.25" customHeight="1" x14ac:dyDescent="0.25">
      <c r="A11" s="152">
        <v>76</v>
      </c>
      <c r="B11" s="152" t="s">
        <v>62</v>
      </c>
      <c r="C11" s="183" t="s">
        <v>417</v>
      </c>
      <c r="D11" s="183" t="s">
        <v>335</v>
      </c>
      <c r="E11" s="184" t="s">
        <v>50</v>
      </c>
      <c r="F11" s="185" t="s">
        <v>470</v>
      </c>
      <c r="G11" s="186">
        <v>43263</v>
      </c>
      <c r="H11" s="190" t="s">
        <v>473</v>
      </c>
      <c r="I11" s="234" t="s">
        <v>18</v>
      </c>
      <c r="J11" s="219" t="s">
        <v>43</v>
      </c>
      <c r="K11" s="164" t="s">
        <v>262</v>
      </c>
      <c r="L11" s="161" t="s">
        <v>126</v>
      </c>
      <c r="M11" s="163" t="s">
        <v>144</v>
      </c>
      <c r="N11" s="178" t="s">
        <v>60</v>
      </c>
      <c r="O11" s="198" t="s">
        <v>62</v>
      </c>
      <c r="P11" s="200">
        <v>1.35</v>
      </c>
      <c r="Q11" s="202">
        <v>1.35</v>
      </c>
      <c r="R11" s="154"/>
      <c r="S11" s="153"/>
      <c r="T11" s="153"/>
      <c r="U11" s="132" t="str">
        <f t="shared" si="0"/>
        <v>Navrh</v>
      </c>
      <c r="V11" s="204">
        <v>2</v>
      </c>
      <c r="W11" s="204" t="s">
        <v>62</v>
      </c>
      <c r="X11" s="204" t="s">
        <v>62</v>
      </c>
      <c r="Y11" s="226" t="str">
        <f>IF(Q11&lt;&gt;"",IF(Q11&lt;=1.2,IF(O11="A","CR",IF(V11&lt;&gt;"",IF(Parametre_2018!N$4=1,IF(LEFT(V11,1)="1",IF(V11&lt;&gt;"",IF(Parametre_2018!O$4&lt;&gt;"",IF(N11&lt;=Parametre_2018!O$4,IF(V11&lt;&gt;"",IF(Parametre_2018!P$4&lt;&gt;"",IF(O11&lt;=Parametre_2018!P$4,"PLD",""),"PLD"),""),""),IF(V11&lt;&gt;"",IF(Parametre_2018!P$4&lt;&gt;"",IF(O11&lt;=Parametre_2018!P$4,"PLD",""),"PLD"),"")),""),""),IF(V11&lt;&gt;"",IF(Parametre_2018!O$4&lt;&gt;"",IF(N11&lt;=Parametre_2018!O$4,IF(V11&lt;&gt;"",IF(Parametre_2018!P$4&lt;&gt;"",IF(O11&lt;=Parametre_2018!P$4,"PLD",""),"PLD"),""),""),IF(V11&lt;&gt;"",IF(Parametre_2018!P$4&lt;&gt;"",IF(O11&lt;=Parametre_2018!P$4,"PLD",""),"PLD"),"")),"")),"")),IF(V11&lt;&gt;"",IF(Parametre_2018!N$4=1,IF(LEFT(V11,1)="1",IF(V11&lt;&gt;"",IF(Parametre_2018!O$4&lt;&gt;"",IF(N11&lt;=Parametre_2018!O$4,IF(V11&lt;&gt;"",IF(Parametre_2018!P$4&lt;&gt;"",IF(O11&lt;=Parametre_2018!P$4,"PLD",""),"PLD"),""),""),IF(V11&lt;&gt;"",IF(Parametre_2018!P$4&lt;&gt;"",IF(O11&lt;=Parametre_2018!P$4,"PLD",""),"PLD"),"")),""),""),IF(V11&lt;&gt;"",IF(Parametre_2018!O$4&lt;&gt;"",IF(N11&lt;=Parametre_2018!O$4,IF(V11&lt;&gt;"",IF(Parametre_2018!P$4&lt;&gt;"",IF(O11&lt;=Parametre_2018!P$4,"PLD",""),"PLD"),""),""),IF(V11&lt;&gt;"",IF(Parametre_2018!P$4&lt;&gt;"",IF(O11&lt;=Parametre_2018!P$4,"PLD",""),"PLD"),"")),"")),"")),"")</f>
        <v>PLD</v>
      </c>
      <c r="Z11" s="262" t="s">
        <v>536</v>
      </c>
      <c r="AA11" s="227" t="s">
        <v>533</v>
      </c>
      <c r="AB11" s="228" t="str">
        <f>IF(Q11&lt;&gt;"",IF(Q11&lt;=Parametre_2018!B$4,IF(Parametre_2018!C$4&lt;&gt;"",IF(N11&lt;=Parametre_2018!C$4,IF(Parametre_2018!D$4&lt;&gt;"",IF(O11&lt;=Parametre_2018!D$4,"MCL",IF(Parametre_2018!I$4&lt;&gt;"",IF(N11&lt;=Parametre_2018!I$4,IF(Parametre_2018!J$4&lt;&gt;"",IF(O11&lt;=Parametre_2018!J$4,"CL",""),"CL"),""),IF(Parametre_2018!J$4&lt;&gt;"",IF(O11&lt;=Parametre_2018!J$4,"CL",""),"CL"))),"MCL"),IF(Parametre_2018!I$4&lt;&gt;"",IF(N11&lt;=Parametre_2018!I$4,IF(Parametre_2018!J$4&lt;&gt;"",IF(O11&lt;=Parametre_2018!J$4,"CL",""),"CL"),""),IF(Parametre_2018!J$4&lt;&gt;"",IF(O11&lt;=Parametre_2018!J$4,"CL",""),"CL"))),IF(Parametre_2018!D$4&lt;&gt;"",IF(O11&lt;=Parametre_2018!D$4,"MCL",IF(Parametre_2018!I$4&lt;&gt;"",IF(N11&lt;=Parametre_2018!I$4,IF(Parametre_2018!J$4&lt;&gt;"",IF(O11&lt;=Parametre_2018!J$4,"CL",""),"CL"),""),IF(Parametre_2018!J$4&lt;&gt;"",IF(O11&lt;=Parametre_2018!J$4,"CL",""),"CL"))),"MCL")),IF(Q11&lt;&gt;"",IF(AND(Q11&gt;Parametre_2018!B$4,Q11&lt;=Parametre_2018!H$4),IF(Parametre_2018!I$4&lt;&gt;"",IF(N11&lt;=Parametre_2018!I$4,IF(Parametre_2018!J$4&lt;&gt;"",IF(O11&lt;=Parametre_2018!J$4,"CL",""),"CL"),""),IF(Parametre_2018!J$4&lt;&gt;"",IF(O11&lt;=Parametre_2018!J$4,"CL",""),"CL")),""),"")),"")</f>
        <v>CL</v>
      </c>
      <c r="AC11" s="153"/>
      <c r="AD11" s="74"/>
      <c r="AE11" s="54" t="s">
        <v>537</v>
      </c>
      <c r="AF11" s="153"/>
      <c r="AG11" s="56"/>
      <c r="AH11" s="56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61"/>
      <c r="AV11" s="61"/>
      <c r="AW11" s="115"/>
      <c r="AX11" s="115"/>
      <c r="AY11" s="115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</row>
    <row r="12" spans="1:62" s="56" customFormat="1" ht="41.25" customHeight="1" x14ac:dyDescent="0.25">
      <c r="A12" s="152">
        <v>24</v>
      </c>
      <c r="B12" s="152" t="s">
        <v>62</v>
      </c>
      <c r="C12" s="183" t="s">
        <v>344</v>
      </c>
      <c r="D12" s="183" t="s">
        <v>345</v>
      </c>
      <c r="E12" s="184" t="s">
        <v>50</v>
      </c>
      <c r="F12" s="185" t="s">
        <v>470</v>
      </c>
      <c r="G12" s="186">
        <v>43263</v>
      </c>
      <c r="H12" s="192" t="s">
        <v>474</v>
      </c>
      <c r="I12" s="192" t="s">
        <v>44</v>
      </c>
      <c r="J12" s="153" t="s">
        <v>53</v>
      </c>
      <c r="K12" s="164" t="s">
        <v>210</v>
      </c>
      <c r="L12" s="161" t="s">
        <v>125</v>
      </c>
      <c r="M12" s="163" t="s">
        <v>136</v>
      </c>
      <c r="N12" s="178" t="s">
        <v>62</v>
      </c>
      <c r="O12" s="198" t="s">
        <v>62</v>
      </c>
      <c r="P12" s="200">
        <v>1.44</v>
      </c>
      <c r="Q12" s="202">
        <v>1.37</v>
      </c>
      <c r="R12" s="207"/>
      <c r="S12" s="204" t="s">
        <v>62</v>
      </c>
      <c r="T12" s="152"/>
      <c r="U12" s="132" t="str">
        <f t="shared" si="0"/>
        <v>Navrh</v>
      </c>
      <c r="V12" s="55" t="s">
        <v>534</v>
      </c>
      <c r="W12" s="55" t="s">
        <v>62</v>
      </c>
      <c r="X12" s="58"/>
      <c r="Y12" s="226" t="str">
        <f>IF(Q12&lt;&gt;"",IF(Q12&lt;=1.2,IF(O12="A","CR",IF(V12&lt;&gt;"",IF(Parametre_2018!N$4=1,IF(LEFT(V12,1)="1",IF(V12&lt;&gt;"",IF(Parametre_2018!O$4&lt;&gt;"",IF(N12&lt;=Parametre_2018!O$4,IF(V12&lt;&gt;"",IF(Parametre_2018!P$4&lt;&gt;"",IF(O12&lt;=Parametre_2018!P$4,"PLD",""),"PLD"),""),""),IF(V12&lt;&gt;"",IF(Parametre_2018!P$4&lt;&gt;"",IF(O12&lt;=Parametre_2018!P$4,"PLD",""),"PLD"),"")),""),""),IF(V12&lt;&gt;"",IF(Parametre_2018!O$4&lt;&gt;"",IF(N12&lt;=Parametre_2018!O$4,IF(V12&lt;&gt;"",IF(Parametre_2018!P$4&lt;&gt;"",IF(O12&lt;=Parametre_2018!P$4,"PLD",""),"PLD"),""),""),IF(V12&lt;&gt;"",IF(Parametre_2018!P$4&lt;&gt;"",IF(O12&lt;=Parametre_2018!P$4,"PLD",""),"PLD"),"")),"")),"")),IF(V12&lt;&gt;"",IF(Parametre_2018!N$4=1,IF(LEFT(V12,1)="1",IF(V12&lt;&gt;"",IF(Parametre_2018!O$4&lt;&gt;"",IF(N12&lt;=Parametre_2018!O$4,IF(V12&lt;&gt;"",IF(Parametre_2018!P$4&lt;&gt;"",IF(O12&lt;=Parametre_2018!P$4,"PLD",""),"PLD"),""),""),IF(V12&lt;&gt;"",IF(Parametre_2018!P$4&lt;&gt;"",IF(O12&lt;=Parametre_2018!P$4,"PLD",""),"PLD"),"")),""),""),IF(V12&lt;&gt;"",IF(Parametre_2018!O$4&lt;&gt;"",IF(N12&lt;=Parametre_2018!O$4,IF(V12&lt;&gt;"",IF(Parametre_2018!P$4&lt;&gt;"",IF(O12&lt;=Parametre_2018!P$4,"PLD",""),"PLD"),""),""),IF(V12&lt;&gt;"",IF(Parametre_2018!P$4&lt;&gt;"",IF(O12&lt;=Parametre_2018!P$4,"PLD",""),"PLD"),"")),"")),"")),"")</f>
        <v>PLD</v>
      </c>
      <c r="Z12" s="58" t="s">
        <v>15</v>
      </c>
      <c r="AA12" s="227" t="s">
        <v>15</v>
      </c>
      <c r="AB12" s="228" t="str">
        <f>IF(Q12&lt;&gt;"",IF(Q12&lt;=Parametre_2018!B$4,IF(Parametre_2018!C$4&lt;&gt;"",IF(N12&lt;=Parametre_2018!C$4,IF(Parametre_2018!D$4&lt;&gt;"",IF(O12&lt;=Parametre_2018!D$4,"MCL",IF(Parametre_2018!I$4&lt;&gt;"",IF(N12&lt;=Parametre_2018!I$4,IF(Parametre_2018!J$4&lt;&gt;"",IF(O12&lt;=Parametre_2018!J$4,"CL",""),"CL"),""),IF(Parametre_2018!J$4&lt;&gt;"",IF(O12&lt;=Parametre_2018!J$4,"CL",""),"CL"))),"MCL"),IF(Parametre_2018!I$4&lt;&gt;"",IF(N12&lt;=Parametre_2018!I$4,IF(Parametre_2018!J$4&lt;&gt;"",IF(O12&lt;=Parametre_2018!J$4,"CL",""),"CL"),""),IF(Parametre_2018!J$4&lt;&gt;"",IF(O12&lt;=Parametre_2018!J$4,"CL",""),"CL"))),IF(Parametre_2018!D$4&lt;&gt;"",IF(O12&lt;=Parametre_2018!D$4,"MCL",IF(Parametre_2018!I$4&lt;&gt;"",IF(N12&lt;=Parametre_2018!I$4,IF(Parametre_2018!J$4&lt;&gt;"",IF(O12&lt;=Parametre_2018!J$4,"CL",""),"CL"),""),IF(Parametre_2018!J$4&lt;&gt;"",IF(O12&lt;=Parametre_2018!J$4,"CL",""),"CL"))),"MCL")),IF(Q12&lt;&gt;"",IF(AND(Q12&gt;Parametre_2018!B$4,Q12&lt;=Parametre_2018!H$4),IF(Parametre_2018!I$4&lt;&gt;"",IF(N12&lt;=Parametre_2018!I$4,IF(Parametre_2018!J$4&lt;&gt;"",IF(O12&lt;=Parametre_2018!J$4,"CL",""),"CL"),""),IF(Parametre_2018!J$4&lt;&gt;"",IF(O12&lt;=Parametre_2018!J$4,"CL",""),"CL")),""),"")),"")</f>
        <v>CL</v>
      </c>
      <c r="AC12" s="89"/>
      <c r="AD12" s="74"/>
      <c r="AE12" s="54"/>
      <c r="AF12" s="54"/>
      <c r="AI12" s="116"/>
      <c r="AJ12" s="116"/>
      <c r="AK12" s="116"/>
      <c r="AL12" s="116"/>
      <c r="AM12" s="116"/>
      <c r="AN12" s="116"/>
      <c r="AO12" s="116"/>
      <c r="AP12" s="115"/>
      <c r="AQ12" s="116"/>
      <c r="AR12" s="116"/>
      <c r="AS12" s="116"/>
      <c r="AT12" s="116"/>
      <c r="AU12" s="61"/>
      <c r="AV12" s="61"/>
      <c r="AW12" s="116"/>
      <c r="AX12" s="116"/>
      <c r="AY12" s="116"/>
      <c r="AZ12" s="57"/>
      <c r="BA12" s="57"/>
      <c r="BB12" s="57"/>
      <c r="BC12" s="57"/>
      <c r="BD12" s="57"/>
      <c r="BE12" s="57"/>
      <c r="BF12" s="57"/>
    </row>
    <row r="13" spans="1:62" s="56" customFormat="1" ht="41.25" customHeight="1" x14ac:dyDescent="0.25">
      <c r="A13" s="152">
        <v>77</v>
      </c>
      <c r="B13" s="152" t="s">
        <v>62</v>
      </c>
      <c r="C13" s="183" t="s">
        <v>418</v>
      </c>
      <c r="D13" s="183" t="s">
        <v>54</v>
      </c>
      <c r="E13" s="184" t="s">
        <v>50</v>
      </c>
      <c r="F13" s="185" t="s">
        <v>470</v>
      </c>
      <c r="G13" s="186">
        <v>43263</v>
      </c>
      <c r="H13" s="190" t="s">
        <v>473</v>
      </c>
      <c r="I13" s="234" t="s">
        <v>18</v>
      </c>
      <c r="J13" s="219" t="s">
        <v>43</v>
      </c>
      <c r="K13" s="164" t="s">
        <v>263</v>
      </c>
      <c r="L13" s="161" t="s">
        <v>126</v>
      </c>
      <c r="M13" s="163" t="s">
        <v>144</v>
      </c>
      <c r="N13" s="178" t="s">
        <v>62</v>
      </c>
      <c r="O13" s="198" t="s">
        <v>62</v>
      </c>
      <c r="P13" s="200">
        <v>1.42</v>
      </c>
      <c r="Q13" s="205">
        <v>1.38</v>
      </c>
      <c r="R13" s="213"/>
      <c r="S13" s="174"/>
      <c r="T13" s="174"/>
      <c r="U13" s="132" t="str">
        <f t="shared" si="0"/>
        <v>Navrh</v>
      </c>
      <c r="V13" s="204">
        <v>1</v>
      </c>
      <c r="W13" s="204" t="s">
        <v>62</v>
      </c>
      <c r="X13" s="204" t="s">
        <v>62</v>
      </c>
      <c r="Y13" s="226" t="str">
        <f>IF(Q13&lt;&gt;"",IF(Q13&lt;=1.2,IF(O13="A","CR",IF(V13&lt;&gt;"",IF(Parametre_2018!N$4=1,IF(LEFT(V13,1)="1",IF(V13&lt;&gt;"",IF(Parametre_2018!O$4&lt;&gt;"",IF(N13&lt;=Parametre_2018!O$4,IF(V13&lt;&gt;"",IF(Parametre_2018!P$4&lt;&gt;"",IF(O13&lt;=Parametre_2018!P$4,"PLD",""),"PLD"),""),""),IF(V13&lt;&gt;"",IF(Parametre_2018!P$4&lt;&gt;"",IF(O13&lt;=Parametre_2018!P$4,"PLD",""),"PLD"),"")),""),""),IF(V13&lt;&gt;"",IF(Parametre_2018!O$4&lt;&gt;"",IF(N13&lt;=Parametre_2018!O$4,IF(V13&lt;&gt;"",IF(Parametre_2018!P$4&lt;&gt;"",IF(O13&lt;=Parametre_2018!P$4,"PLD",""),"PLD"),""),""),IF(V13&lt;&gt;"",IF(Parametre_2018!P$4&lt;&gt;"",IF(O13&lt;=Parametre_2018!P$4,"PLD",""),"PLD"),"")),"")),"")),IF(V13&lt;&gt;"",IF(Parametre_2018!N$4=1,IF(LEFT(V13,1)="1",IF(V13&lt;&gt;"",IF(Parametre_2018!O$4&lt;&gt;"",IF(N13&lt;=Parametre_2018!O$4,IF(V13&lt;&gt;"",IF(Parametre_2018!P$4&lt;&gt;"",IF(O13&lt;=Parametre_2018!P$4,"PLD",""),"PLD"),""),""),IF(V13&lt;&gt;"",IF(Parametre_2018!P$4&lt;&gt;"",IF(O13&lt;=Parametre_2018!P$4,"PLD",""),"PLD"),"")),""),""),IF(V13&lt;&gt;"",IF(Parametre_2018!O$4&lt;&gt;"",IF(N13&lt;=Parametre_2018!O$4,IF(V13&lt;&gt;"",IF(Parametre_2018!P$4&lt;&gt;"",IF(O13&lt;=Parametre_2018!P$4,"PLD",""),"PLD"),""),""),IF(V13&lt;&gt;"",IF(Parametre_2018!P$4&lt;&gt;"",IF(O13&lt;=Parametre_2018!P$4,"PLD",""),"PLD"),"")),"")),"")),"")</f>
        <v>PLD</v>
      </c>
      <c r="Z13" s="58" t="s">
        <v>15</v>
      </c>
      <c r="AA13" s="227" t="s">
        <v>551</v>
      </c>
      <c r="AB13" s="228" t="str">
        <f>IF(Q13&lt;&gt;"",IF(Q13&lt;=Parametre_2018!B$4,IF(Parametre_2018!C$4&lt;&gt;"",IF(N13&lt;=Parametre_2018!C$4,IF(Parametre_2018!D$4&lt;&gt;"",IF(O13&lt;=Parametre_2018!D$4,"MCL",IF(Parametre_2018!I$4&lt;&gt;"",IF(N13&lt;=Parametre_2018!I$4,IF(Parametre_2018!J$4&lt;&gt;"",IF(O13&lt;=Parametre_2018!J$4,"CL",""),"CL"),""),IF(Parametre_2018!J$4&lt;&gt;"",IF(O13&lt;=Parametre_2018!J$4,"CL",""),"CL"))),"MCL"),IF(Parametre_2018!I$4&lt;&gt;"",IF(N13&lt;=Parametre_2018!I$4,IF(Parametre_2018!J$4&lt;&gt;"",IF(O13&lt;=Parametre_2018!J$4,"CL",""),"CL"),""),IF(Parametre_2018!J$4&lt;&gt;"",IF(O13&lt;=Parametre_2018!J$4,"CL",""),"CL"))),IF(Parametre_2018!D$4&lt;&gt;"",IF(O13&lt;=Parametre_2018!D$4,"MCL",IF(Parametre_2018!I$4&lt;&gt;"",IF(N13&lt;=Parametre_2018!I$4,IF(Parametre_2018!J$4&lt;&gt;"",IF(O13&lt;=Parametre_2018!J$4,"CL",""),"CL"),""),IF(Parametre_2018!J$4&lt;&gt;"",IF(O13&lt;=Parametre_2018!J$4,"CL",""),"CL"))),"MCL")),IF(Q13&lt;&gt;"",IF(AND(Q13&gt;Parametre_2018!B$4,Q13&lt;=Parametre_2018!H$4),IF(Parametre_2018!I$4&lt;&gt;"",IF(N13&lt;=Parametre_2018!I$4,IF(Parametre_2018!J$4&lt;&gt;"",IF(O13&lt;=Parametre_2018!J$4,"CL",""),"CL"),""),IF(Parametre_2018!J$4&lt;&gt;"",IF(O13&lt;=Parametre_2018!J$4,"CL",""),"CL")),""),"")),"")</f>
        <v>CL</v>
      </c>
      <c r="AC13" s="155"/>
      <c r="AD13" s="74"/>
      <c r="AE13" s="54" t="s">
        <v>537</v>
      </c>
      <c r="AF13" s="175"/>
      <c r="AI13" s="116"/>
      <c r="AJ13" s="116"/>
      <c r="AK13" s="116"/>
      <c r="AL13" s="116"/>
      <c r="AM13" s="116"/>
      <c r="AN13" s="116"/>
      <c r="AO13" s="116"/>
      <c r="AP13" s="115"/>
      <c r="AQ13" s="116"/>
      <c r="AR13" s="116"/>
      <c r="AS13" s="116"/>
      <c r="AT13" s="116"/>
      <c r="AU13" s="61"/>
      <c r="AV13" s="61"/>
      <c r="AW13" s="116"/>
      <c r="AX13" s="116"/>
      <c r="AY13" s="116"/>
    </row>
    <row r="14" spans="1:62" s="56" customFormat="1" ht="41.25" customHeight="1" x14ac:dyDescent="0.25">
      <c r="A14" s="152">
        <v>113</v>
      </c>
      <c r="B14" s="152" t="s">
        <v>62</v>
      </c>
      <c r="C14" s="183" t="s">
        <v>463</v>
      </c>
      <c r="D14" s="183" t="s">
        <v>339</v>
      </c>
      <c r="E14" s="184" t="s">
        <v>50</v>
      </c>
      <c r="F14" s="185" t="s">
        <v>471</v>
      </c>
      <c r="G14" s="186">
        <v>43263</v>
      </c>
      <c r="H14" s="192" t="s">
        <v>47</v>
      </c>
      <c r="I14" s="192" t="s">
        <v>19</v>
      </c>
      <c r="J14" s="172" t="s">
        <v>475</v>
      </c>
      <c r="K14" s="164" t="s">
        <v>299</v>
      </c>
      <c r="L14" s="161" t="s">
        <v>166</v>
      </c>
      <c r="M14" s="163" t="s">
        <v>117</v>
      </c>
      <c r="N14" s="178" t="s">
        <v>60</v>
      </c>
      <c r="O14" s="198" t="s">
        <v>60</v>
      </c>
      <c r="P14" s="200">
        <v>1.28</v>
      </c>
      <c r="Q14" s="202">
        <v>1.38</v>
      </c>
      <c r="R14" s="213"/>
      <c r="S14" s="174"/>
      <c r="T14" s="174"/>
      <c r="U14" s="132" t="str">
        <f t="shared" si="0"/>
        <v>Navrh</v>
      </c>
      <c r="V14" s="152"/>
      <c r="W14" s="204" t="s">
        <v>62</v>
      </c>
      <c r="X14" s="155"/>
      <c r="Y14" s="226" t="str">
        <f>IF(Q14&lt;&gt;"",IF(Q14&lt;=1.2,IF(O14="A","CR",IF(V14&lt;&gt;"",IF(Parametre_2018!N$4=1,IF(LEFT(V14,1)="1",IF(V14&lt;&gt;"",IF(Parametre_2018!O$4&lt;&gt;"",IF(N14&lt;=Parametre_2018!O$4,IF(V14&lt;&gt;"",IF(Parametre_2018!P$4&lt;&gt;"",IF(O14&lt;=Parametre_2018!P$4,"PLD",""),"PLD"),""),""),IF(V14&lt;&gt;"",IF(Parametre_2018!P$4&lt;&gt;"",IF(O14&lt;=Parametre_2018!P$4,"PLD",""),"PLD"),"")),""),""),IF(V14&lt;&gt;"",IF(Parametre_2018!O$4&lt;&gt;"",IF(N14&lt;=Parametre_2018!O$4,IF(V14&lt;&gt;"",IF(Parametre_2018!P$4&lt;&gt;"",IF(O14&lt;=Parametre_2018!P$4,"PLD",""),"PLD"),""),""),IF(V14&lt;&gt;"",IF(Parametre_2018!P$4&lt;&gt;"",IF(O14&lt;=Parametre_2018!P$4,"PLD",""),"PLD"),"")),"")),"")),IF(V14&lt;&gt;"",IF(Parametre_2018!N$4=1,IF(LEFT(V14,1)="1",IF(V14&lt;&gt;"",IF(Parametre_2018!O$4&lt;&gt;"",IF(N14&lt;=Parametre_2018!O$4,IF(V14&lt;&gt;"",IF(Parametre_2018!P$4&lt;&gt;"",IF(O14&lt;=Parametre_2018!P$4,"PLD",""),"PLD"),""),""),IF(V14&lt;&gt;"",IF(Parametre_2018!P$4&lt;&gt;"",IF(O14&lt;=Parametre_2018!P$4,"PLD",""),"PLD"),"")),""),""),IF(V14&lt;&gt;"",IF(Parametre_2018!O$4&lt;&gt;"",IF(N14&lt;=Parametre_2018!O$4,IF(V14&lt;&gt;"",IF(Parametre_2018!P$4&lt;&gt;"",IF(O14&lt;=Parametre_2018!P$4,"PLD",""),"PLD"),""),""),IF(V14&lt;&gt;"",IF(Parametre_2018!P$4&lt;&gt;"",IF(O14&lt;=Parametre_2018!P$4,"PLD",""),"PLD"),"")),"")),"")),"")</f>
        <v/>
      </c>
      <c r="Z14" s="152"/>
      <c r="AA14" s="227"/>
      <c r="AB14" s="228" t="str">
        <f>IF(Q14&lt;&gt;"",IF(Q14&lt;=Parametre_2018!B$4,IF(Parametre_2018!C$4&lt;&gt;"",IF(N14&lt;=Parametre_2018!C$4,IF(Parametre_2018!D$4&lt;&gt;"",IF(O14&lt;=Parametre_2018!D$4,"MCL",IF(Parametre_2018!I$4&lt;&gt;"",IF(N14&lt;=Parametre_2018!I$4,IF(Parametre_2018!J$4&lt;&gt;"",IF(O14&lt;=Parametre_2018!J$4,"CL",""),"CL"),""),IF(Parametre_2018!J$4&lt;&gt;"",IF(O14&lt;=Parametre_2018!J$4,"CL",""),"CL"))),"MCL"),IF(Parametre_2018!I$4&lt;&gt;"",IF(N14&lt;=Parametre_2018!I$4,IF(Parametre_2018!J$4&lt;&gt;"",IF(O14&lt;=Parametre_2018!J$4,"CL",""),"CL"),""),IF(Parametre_2018!J$4&lt;&gt;"",IF(O14&lt;=Parametre_2018!J$4,"CL",""),"CL"))),IF(Parametre_2018!D$4&lt;&gt;"",IF(O14&lt;=Parametre_2018!D$4,"MCL",IF(Parametre_2018!I$4&lt;&gt;"",IF(N14&lt;=Parametre_2018!I$4,IF(Parametre_2018!J$4&lt;&gt;"",IF(O14&lt;=Parametre_2018!J$4,"CL",""),"CL"),""),IF(Parametre_2018!J$4&lt;&gt;"",IF(O14&lt;=Parametre_2018!J$4,"CL",""),"CL"))),"MCL")),IF(Q14&lt;&gt;"",IF(AND(Q14&gt;Parametre_2018!B$4,Q14&lt;=Parametre_2018!H$4),IF(Parametre_2018!I$4&lt;&gt;"",IF(N14&lt;=Parametre_2018!I$4,IF(Parametre_2018!J$4&lt;&gt;"",IF(O14&lt;=Parametre_2018!J$4,"CL",""),"CL"),""),IF(Parametre_2018!J$4&lt;&gt;"",IF(O14&lt;=Parametre_2018!J$4,"CL",""),"CL")),""),"")),"")</f>
        <v>CL</v>
      </c>
      <c r="AC14" s="155"/>
      <c r="AD14" s="74"/>
      <c r="AE14" s="155"/>
      <c r="AF14" s="17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61"/>
      <c r="AV14" s="61"/>
      <c r="AW14" s="115"/>
      <c r="AX14" s="115"/>
      <c r="AY14" s="115"/>
      <c r="BG14" s="64"/>
      <c r="BH14" s="64"/>
      <c r="BI14" s="64"/>
      <c r="BJ14" s="64"/>
    </row>
    <row r="15" spans="1:62" s="64" customFormat="1" ht="41.25" customHeight="1" x14ac:dyDescent="0.25">
      <c r="A15" s="152">
        <v>54</v>
      </c>
      <c r="B15" s="152" t="s">
        <v>62</v>
      </c>
      <c r="C15" s="183" t="s">
        <v>387</v>
      </c>
      <c r="D15" s="183" t="s">
        <v>388</v>
      </c>
      <c r="E15" s="184" t="s">
        <v>50</v>
      </c>
      <c r="F15" s="185" t="s">
        <v>471</v>
      </c>
      <c r="G15" s="195">
        <v>43262</v>
      </c>
      <c r="H15" s="188" t="s">
        <v>487</v>
      </c>
      <c r="I15" s="234" t="s">
        <v>19</v>
      </c>
      <c r="J15" s="219" t="s">
        <v>488</v>
      </c>
      <c r="K15" s="164" t="s">
        <v>240</v>
      </c>
      <c r="L15" s="161" t="s">
        <v>150</v>
      </c>
      <c r="M15" s="163" t="s">
        <v>152</v>
      </c>
      <c r="N15" s="181" t="s">
        <v>60</v>
      </c>
      <c r="O15" s="198" t="s">
        <v>62</v>
      </c>
      <c r="P15" s="200">
        <v>1.4</v>
      </c>
      <c r="Q15" s="202">
        <v>1.39</v>
      </c>
      <c r="R15" s="209"/>
      <c r="S15" s="220" t="s">
        <v>62</v>
      </c>
      <c r="T15" s="220"/>
      <c r="U15" s="132" t="str">
        <f t="shared" si="0"/>
        <v>Navrh</v>
      </c>
      <c r="V15" s="220"/>
      <c r="W15" s="220"/>
      <c r="X15" s="220" t="s">
        <v>62</v>
      </c>
      <c r="Y15" s="226" t="str">
        <f>IF(Q15&lt;&gt;"",IF(Q15&lt;=1.2,IF(O15="A","CR",IF(V15&lt;&gt;"",IF(Parametre_2018!N$4=1,IF(LEFT(V15,1)="1",IF(V15&lt;&gt;"",IF(Parametre_2018!O$4&lt;&gt;"",IF(N15&lt;=Parametre_2018!O$4,IF(V15&lt;&gt;"",IF(Parametre_2018!P$4&lt;&gt;"",IF(O15&lt;=Parametre_2018!P$4,"PLD",""),"PLD"),""),""),IF(V15&lt;&gt;"",IF(Parametre_2018!P$4&lt;&gt;"",IF(O15&lt;=Parametre_2018!P$4,"PLD",""),"PLD"),"")),""),""),IF(V15&lt;&gt;"",IF(Parametre_2018!O$4&lt;&gt;"",IF(N15&lt;=Parametre_2018!O$4,IF(V15&lt;&gt;"",IF(Parametre_2018!P$4&lt;&gt;"",IF(O15&lt;=Parametre_2018!P$4,"PLD",""),"PLD"),""),""),IF(V15&lt;&gt;"",IF(Parametre_2018!P$4&lt;&gt;"",IF(O15&lt;=Parametre_2018!P$4,"PLD",""),"PLD"),"")),"")),"")),IF(V15&lt;&gt;"",IF(Parametre_2018!N$4=1,IF(LEFT(V15,1)="1",IF(V15&lt;&gt;"",IF(Parametre_2018!O$4&lt;&gt;"",IF(N15&lt;=Parametre_2018!O$4,IF(V15&lt;&gt;"",IF(Parametre_2018!P$4&lt;&gt;"",IF(O15&lt;=Parametre_2018!P$4,"PLD",""),"PLD"),""),""),IF(V15&lt;&gt;"",IF(Parametre_2018!P$4&lt;&gt;"",IF(O15&lt;=Parametre_2018!P$4,"PLD",""),"PLD"),"")),""),""),IF(V15&lt;&gt;"",IF(Parametre_2018!O$4&lt;&gt;"",IF(N15&lt;=Parametre_2018!O$4,IF(V15&lt;&gt;"",IF(Parametre_2018!P$4&lt;&gt;"",IF(O15&lt;=Parametre_2018!P$4,"PLD",""),"PLD"),""),""),IF(V15&lt;&gt;"",IF(Parametre_2018!P$4&lt;&gt;"",IF(O15&lt;=Parametre_2018!P$4,"PLD",""),"PLD"),"")),"")),"")),"")</f>
        <v/>
      </c>
      <c r="Z15" s="220"/>
      <c r="AA15" s="227"/>
      <c r="AB15" s="228" t="str">
        <f>IF(Q15&lt;&gt;"",IF(Q15&lt;=Parametre_2018!B$4,IF(Parametre_2018!C$4&lt;&gt;"",IF(N15&lt;=Parametre_2018!C$4,IF(Parametre_2018!D$4&lt;&gt;"",IF(O15&lt;=Parametre_2018!D$4,"MCL",IF(Parametre_2018!I$4&lt;&gt;"",IF(N15&lt;=Parametre_2018!I$4,IF(Parametre_2018!J$4&lt;&gt;"",IF(O15&lt;=Parametre_2018!J$4,"CL",""),"CL"),""),IF(Parametre_2018!J$4&lt;&gt;"",IF(O15&lt;=Parametre_2018!J$4,"CL",""),"CL"))),"MCL"),IF(Parametre_2018!I$4&lt;&gt;"",IF(N15&lt;=Parametre_2018!I$4,IF(Parametre_2018!J$4&lt;&gt;"",IF(O15&lt;=Parametre_2018!J$4,"CL",""),"CL"),""),IF(Parametre_2018!J$4&lt;&gt;"",IF(O15&lt;=Parametre_2018!J$4,"CL",""),"CL"))),IF(Parametre_2018!D$4&lt;&gt;"",IF(O15&lt;=Parametre_2018!D$4,"MCL",IF(Parametre_2018!I$4&lt;&gt;"",IF(N15&lt;=Parametre_2018!I$4,IF(Parametre_2018!J$4&lt;&gt;"",IF(O15&lt;=Parametre_2018!J$4,"CL",""),"CL"),""),IF(Parametre_2018!J$4&lt;&gt;"",IF(O15&lt;=Parametre_2018!J$4,"CL",""),"CL"))),"MCL")),IF(Q15&lt;&gt;"",IF(AND(Q15&gt;Parametre_2018!B$4,Q15&lt;=Parametre_2018!H$4),IF(Parametre_2018!I$4&lt;&gt;"",IF(N15&lt;=Parametre_2018!I$4,IF(Parametre_2018!J$4&lt;&gt;"",IF(O15&lt;=Parametre_2018!J$4,"CL",""),"CL"),""),IF(Parametre_2018!J$4&lt;&gt;"",IF(O15&lt;=Parametre_2018!J$4,"CL",""),"CL")),""),"")),"")</f>
        <v>CL</v>
      </c>
      <c r="AC15" s="169"/>
      <c r="AD15" s="74"/>
      <c r="AE15" s="169"/>
      <c r="AF15" s="169"/>
      <c r="AG15" s="56"/>
      <c r="AH15" s="56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61"/>
      <c r="AV15" s="61"/>
      <c r="AW15" s="115"/>
      <c r="AX15" s="115"/>
      <c r="AY15" s="115"/>
      <c r="AZ15" s="56"/>
      <c r="BA15" s="56"/>
      <c r="BB15" s="56"/>
      <c r="BC15" s="56"/>
      <c r="BD15" s="56"/>
      <c r="BE15" s="56"/>
      <c r="BF15" s="56"/>
      <c r="BG15" s="53"/>
      <c r="BH15" s="53"/>
      <c r="BI15" s="53"/>
      <c r="BJ15" s="53"/>
    </row>
    <row r="16" spans="1:62" s="56" customFormat="1" ht="41.25" customHeight="1" x14ac:dyDescent="0.25">
      <c r="A16" s="152">
        <v>94</v>
      </c>
      <c r="B16" s="152" t="s">
        <v>62</v>
      </c>
      <c r="C16" s="183" t="s">
        <v>443</v>
      </c>
      <c r="D16" s="183" t="s">
        <v>360</v>
      </c>
      <c r="E16" s="184" t="s">
        <v>50</v>
      </c>
      <c r="F16" s="185" t="s">
        <v>471</v>
      </c>
      <c r="G16" s="195">
        <v>43262</v>
      </c>
      <c r="H16" s="188" t="s">
        <v>493</v>
      </c>
      <c r="I16" s="234" t="s">
        <v>478</v>
      </c>
      <c r="J16" s="219" t="s">
        <v>494</v>
      </c>
      <c r="K16" s="164" t="s">
        <v>280</v>
      </c>
      <c r="L16" s="161" t="s">
        <v>152</v>
      </c>
      <c r="M16" s="163" t="s">
        <v>177</v>
      </c>
      <c r="N16" s="178" t="s">
        <v>62</v>
      </c>
      <c r="O16" s="198" t="s">
        <v>62</v>
      </c>
      <c r="P16" s="200">
        <v>1.43</v>
      </c>
      <c r="Q16" s="202">
        <v>1.39</v>
      </c>
      <c r="R16" s="213"/>
      <c r="S16" s="174"/>
      <c r="T16" s="174"/>
      <c r="U16" s="132" t="str">
        <f t="shared" si="0"/>
        <v>Navrh</v>
      </c>
      <c r="V16" s="152">
        <v>1</v>
      </c>
      <c r="W16" s="152"/>
      <c r="X16" s="155"/>
      <c r="Y16" s="226" t="str">
        <f>IF(Q16&lt;&gt;"",IF(Q16&lt;=1.2,IF(O16="A","CR",IF(V16&lt;&gt;"",IF(Parametre_2018!N$4=1,IF(LEFT(V16,1)="1",IF(V16&lt;&gt;"",IF(Parametre_2018!O$4&lt;&gt;"",IF(N16&lt;=Parametre_2018!O$4,IF(V16&lt;&gt;"",IF(Parametre_2018!P$4&lt;&gt;"",IF(O16&lt;=Parametre_2018!P$4,"PLD",""),"PLD"),""),""),IF(V16&lt;&gt;"",IF(Parametre_2018!P$4&lt;&gt;"",IF(O16&lt;=Parametre_2018!P$4,"PLD",""),"PLD"),"")),""),""),IF(V16&lt;&gt;"",IF(Parametre_2018!O$4&lt;&gt;"",IF(N16&lt;=Parametre_2018!O$4,IF(V16&lt;&gt;"",IF(Parametre_2018!P$4&lt;&gt;"",IF(O16&lt;=Parametre_2018!P$4,"PLD",""),"PLD"),""),""),IF(V16&lt;&gt;"",IF(Parametre_2018!P$4&lt;&gt;"",IF(O16&lt;=Parametre_2018!P$4,"PLD",""),"PLD"),"")),"")),"")),IF(V16&lt;&gt;"",IF(Parametre_2018!N$4=1,IF(LEFT(V16,1)="1",IF(V16&lt;&gt;"",IF(Parametre_2018!O$4&lt;&gt;"",IF(N16&lt;=Parametre_2018!O$4,IF(V16&lt;&gt;"",IF(Parametre_2018!P$4&lt;&gt;"",IF(O16&lt;=Parametre_2018!P$4,"PLD",""),"PLD"),""),""),IF(V16&lt;&gt;"",IF(Parametre_2018!P$4&lt;&gt;"",IF(O16&lt;=Parametre_2018!P$4,"PLD",""),"PLD"),"")),""),""),IF(V16&lt;&gt;"",IF(Parametre_2018!O$4&lt;&gt;"",IF(N16&lt;=Parametre_2018!O$4,IF(V16&lt;&gt;"",IF(Parametre_2018!P$4&lt;&gt;"",IF(O16&lt;=Parametre_2018!P$4,"PLD",""),"PLD"),""),""),IF(V16&lt;&gt;"",IF(Parametre_2018!P$4&lt;&gt;"",IF(O16&lt;=Parametre_2018!P$4,"PLD",""),"PLD"),"")),"")),"")),"")</f>
        <v>PLD</v>
      </c>
      <c r="Z16" s="58" t="s">
        <v>15</v>
      </c>
      <c r="AA16" s="227" t="s">
        <v>15</v>
      </c>
      <c r="AB16" s="228" t="str">
        <f>IF(Q16&lt;&gt;"",IF(Q16&lt;=Parametre_2018!B$4,IF(Parametre_2018!C$4&lt;&gt;"",IF(N16&lt;=Parametre_2018!C$4,IF(Parametre_2018!D$4&lt;&gt;"",IF(O16&lt;=Parametre_2018!D$4,"MCL",IF(Parametre_2018!I$4&lt;&gt;"",IF(N16&lt;=Parametre_2018!I$4,IF(Parametre_2018!J$4&lt;&gt;"",IF(O16&lt;=Parametre_2018!J$4,"CL",""),"CL"),""),IF(Parametre_2018!J$4&lt;&gt;"",IF(O16&lt;=Parametre_2018!J$4,"CL",""),"CL"))),"MCL"),IF(Parametre_2018!I$4&lt;&gt;"",IF(N16&lt;=Parametre_2018!I$4,IF(Parametre_2018!J$4&lt;&gt;"",IF(O16&lt;=Parametre_2018!J$4,"CL",""),"CL"),""),IF(Parametre_2018!J$4&lt;&gt;"",IF(O16&lt;=Parametre_2018!J$4,"CL",""),"CL"))),IF(Parametre_2018!D$4&lt;&gt;"",IF(O16&lt;=Parametre_2018!D$4,"MCL",IF(Parametre_2018!I$4&lt;&gt;"",IF(N16&lt;=Parametre_2018!I$4,IF(Parametre_2018!J$4&lt;&gt;"",IF(O16&lt;=Parametre_2018!J$4,"CL",""),"CL"),""),IF(Parametre_2018!J$4&lt;&gt;"",IF(O16&lt;=Parametre_2018!J$4,"CL",""),"CL"))),"MCL")),IF(Q16&lt;&gt;"",IF(AND(Q16&gt;Parametre_2018!B$4,Q16&lt;=Parametre_2018!H$4),IF(Parametre_2018!I$4&lt;&gt;"",IF(N16&lt;=Parametre_2018!I$4,IF(Parametre_2018!J$4&lt;&gt;"",IF(O16&lt;=Parametre_2018!J$4,"CL",""),"CL"),""),IF(Parametre_2018!J$4&lt;&gt;"",IF(O16&lt;=Parametre_2018!J$4,"CL",""),"CL")),""),"")),"")</f>
        <v>CL</v>
      </c>
      <c r="AC16" s="155"/>
      <c r="AD16" s="74"/>
      <c r="AE16" s="54"/>
      <c r="AF16" s="175"/>
      <c r="AI16" s="116"/>
      <c r="AJ16" s="116"/>
      <c r="AK16" s="116"/>
      <c r="AL16" s="116"/>
      <c r="AM16" s="116"/>
      <c r="AN16" s="116"/>
      <c r="AO16" s="116"/>
      <c r="AP16" s="115"/>
      <c r="AQ16" s="116"/>
      <c r="AR16" s="116"/>
      <c r="AS16" s="116"/>
      <c r="AT16" s="116"/>
      <c r="AU16" s="61"/>
      <c r="AV16" s="61"/>
      <c r="AW16" s="116"/>
      <c r="AX16" s="116"/>
      <c r="AY16" s="116"/>
      <c r="BG16" s="53"/>
      <c r="BH16" s="53"/>
      <c r="BI16" s="53"/>
      <c r="BJ16" s="53"/>
    </row>
    <row r="17" spans="1:62" s="64" customFormat="1" ht="41.25" customHeight="1" x14ac:dyDescent="0.25">
      <c r="A17" s="152">
        <v>71</v>
      </c>
      <c r="B17" s="152" t="s">
        <v>62</v>
      </c>
      <c r="C17" s="183" t="s">
        <v>410</v>
      </c>
      <c r="D17" s="183" t="s">
        <v>335</v>
      </c>
      <c r="E17" s="184" t="s">
        <v>50</v>
      </c>
      <c r="F17" s="185" t="s">
        <v>471</v>
      </c>
      <c r="G17" s="195">
        <v>43262</v>
      </c>
      <c r="H17" s="188" t="s">
        <v>493</v>
      </c>
      <c r="I17" s="234" t="s">
        <v>478</v>
      </c>
      <c r="J17" s="219" t="s">
        <v>494</v>
      </c>
      <c r="K17" s="164" t="s">
        <v>257</v>
      </c>
      <c r="L17" s="161" t="s">
        <v>117</v>
      </c>
      <c r="M17" s="163" t="s">
        <v>150</v>
      </c>
      <c r="N17" s="178" t="s">
        <v>62</v>
      </c>
      <c r="O17" s="198" t="s">
        <v>62</v>
      </c>
      <c r="P17" s="200">
        <v>1.45</v>
      </c>
      <c r="Q17" s="202">
        <v>1.41</v>
      </c>
      <c r="R17" s="154"/>
      <c r="S17" s="153"/>
      <c r="T17" s="153"/>
      <c r="U17" s="132" t="str">
        <f t="shared" si="0"/>
        <v>Navrh</v>
      </c>
      <c r="V17" s="152">
        <v>2</v>
      </c>
      <c r="W17" s="204" t="s">
        <v>62</v>
      </c>
      <c r="X17" s="204" t="s">
        <v>62</v>
      </c>
      <c r="Y17" s="226" t="str">
        <f>IF(Q17&lt;&gt;"",IF(Q17&lt;=1.2,IF(O17="A","CR",IF(V17&lt;&gt;"",IF(Parametre_2018!N$4=1,IF(LEFT(V17,1)="1",IF(V17&lt;&gt;"",IF(Parametre_2018!O$4&lt;&gt;"",IF(N17&lt;=Parametre_2018!O$4,IF(V17&lt;&gt;"",IF(Parametre_2018!P$4&lt;&gt;"",IF(O17&lt;=Parametre_2018!P$4,"PLD",""),"PLD"),""),""),IF(V17&lt;&gt;"",IF(Parametre_2018!P$4&lt;&gt;"",IF(O17&lt;=Parametre_2018!P$4,"PLD",""),"PLD"),"")),""),""),IF(V17&lt;&gt;"",IF(Parametre_2018!O$4&lt;&gt;"",IF(N17&lt;=Parametre_2018!O$4,IF(V17&lt;&gt;"",IF(Parametre_2018!P$4&lt;&gt;"",IF(O17&lt;=Parametre_2018!P$4,"PLD",""),"PLD"),""),""),IF(V17&lt;&gt;"",IF(Parametre_2018!P$4&lt;&gt;"",IF(O17&lt;=Parametre_2018!P$4,"PLD",""),"PLD"),"")),"")),"")),IF(V17&lt;&gt;"",IF(Parametre_2018!N$4=1,IF(LEFT(V17,1)="1",IF(V17&lt;&gt;"",IF(Parametre_2018!O$4&lt;&gt;"",IF(N17&lt;=Parametre_2018!O$4,IF(V17&lt;&gt;"",IF(Parametre_2018!P$4&lt;&gt;"",IF(O17&lt;=Parametre_2018!P$4,"PLD",""),"PLD"),""),""),IF(V17&lt;&gt;"",IF(Parametre_2018!P$4&lt;&gt;"",IF(O17&lt;=Parametre_2018!P$4,"PLD",""),"PLD"),"")),""),""),IF(V17&lt;&gt;"",IF(Parametre_2018!O$4&lt;&gt;"",IF(N17&lt;=Parametre_2018!O$4,IF(V17&lt;&gt;"",IF(Parametre_2018!P$4&lt;&gt;"",IF(O17&lt;=Parametre_2018!P$4,"PLD",""),"PLD"),""),""),IF(V17&lt;&gt;"",IF(Parametre_2018!P$4&lt;&gt;"",IF(O17&lt;=Parametre_2018!P$4,"PLD",""),"PLD"),"")),"")),"")),"")</f>
        <v>PLD</v>
      </c>
      <c r="Z17" s="58" t="s">
        <v>15</v>
      </c>
      <c r="AA17" s="227" t="s">
        <v>15</v>
      </c>
      <c r="AB17" s="228" t="str">
        <f>IF(Q17&lt;&gt;"",IF(Q17&lt;=Parametre_2018!B$4,IF(Parametre_2018!C$4&lt;&gt;"",IF(N17&lt;=Parametre_2018!C$4,IF(Parametre_2018!D$4&lt;&gt;"",IF(O17&lt;=Parametre_2018!D$4,"MCL",IF(Parametre_2018!I$4&lt;&gt;"",IF(N17&lt;=Parametre_2018!I$4,IF(Parametre_2018!J$4&lt;&gt;"",IF(O17&lt;=Parametre_2018!J$4,"CL",""),"CL"),""),IF(Parametre_2018!J$4&lt;&gt;"",IF(O17&lt;=Parametre_2018!J$4,"CL",""),"CL"))),"MCL"),IF(Parametre_2018!I$4&lt;&gt;"",IF(N17&lt;=Parametre_2018!I$4,IF(Parametre_2018!J$4&lt;&gt;"",IF(O17&lt;=Parametre_2018!J$4,"CL",""),"CL"),""),IF(Parametre_2018!J$4&lt;&gt;"",IF(O17&lt;=Parametre_2018!J$4,"CL",""),"CL"))),IF(Parametre_2018!D$4&lt;&gt;"",IF(O17&lt;=Parametre_2018!D$4,"MCL",IF(Parametre_2018!I$4&lt;&gt;"",IF(N17&lt;=Parametre_2018!I$4,IF(Parametre_2018!J$4&lt;&gt;"",IF(O17&lt;=Parametre_2018!J$4,"CL",""),"CL"),""),IF(Parametre_2018!J$4&lt;&gt;"",IF(O17&lt;=Parametre_2018!J$4,"CL",""),"CL"))),"MCL")),IF(Q17&lt;&gt;"",IF(AND(Q17&gt;Parametre_2018!B$4,Q17&lt;=Parametre_2018!H$4),IF(Parametre_2018!I$4&lt;&gt;"",IF(N17&lt;=Parametre_2018!I$4,IF(Parametre_2018!J$4&lt;&gt;"",IF(O17&lt;=Parametre_2018!J$4,"CL",""),"CL"),""),IF(Parametre_2018!J$4&lt;&gt;"",IF(O17&lt;=Parametre_2018!J$4,"CL",""),"CL")),""),"")),"")</f>
        <v/>
      </c>
      <c r="AC17" s="153"/>
      <c r="AD17" s="74"/>
      <c r="AE17" s="54" t="s">
        <v>537</v>
      </c>
      <c r="AF17" s="153"/>
      <c r="AG17" s="56"/>
      <c r="AH17" s="56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56"/>
      <c r="BA17" s="56"/>
      <c r="BB17" s="56"/>
      <c r="BC17" s="56"/>
      <c r="BD17" s="56"/>
      <c r="BE17" s="56"/>
      <c r="BF17" s="56"/>
      <c r="BG17" s="53"/>
      <c r="BH17" s="53"/>
      <c r="BI17" s="53"/>
      <c r="BJ17" s="53"/>
    </row>
    <row r="18" spans="1:62" s="64" customFormat="1" ht="41.25" customHeight="1" x14ac:dyDescent="0.25">
      <c r="A18" s="152">
        <v>59</v>
      </c>
      <c r="B18" s="152" t="s">
        <v>62</v>
      </c>
      <c r="C18" s="183" t="s">
        <v>395</v>
      </c>
      <c r="D18" s="183" t="s">
        <v>396</v>
      </c>
      <c r="E18" s="184" t="s">
        <v>50</v>
      </c>
      <c r="F18" s="185" t="s">
        <v>471</v>
      </c>
      <c r="G18" s="186">
        <v>43263</v>
      </c>
      <c r="H18" s="187" t="s">
        <v>472</v>
      </c>
      <c r="I18" s="192" t="s">
        <v>94</v>
      </c>
      <c r="J18" s="194" t="s">
        <v>51</v>
      </c>
      <c r="K18" s="164" t="s">
        <v>245</v>
      </c>
      <c r="L18" s="161" t="s">
        <v>133</v>
      </c>
      <c r="M18" s="163" t="s">
        <v>130</v>
      </c>
      <c r="N18" s="181" t="s">
        <v>60</v>
      </c>
      <c r="O18" s="198" t="s">
        <v>62</v>
      </c>
      <c r="P18" s="200">
        <v>1.47</v>
      </c>
      <c r="Q18" s="202">
        <v>1.42</v>
      </c>
      <c r="R18" s="209"/>
      <c r="S18" s="169"/>
      <c r="T18" s="169"/>
      <c r="U18" s="132" t="str">
        <f t="shared" si="0"/>
        <v/>
      </c>
      <c r="V18" s="220"/>
      <c r="W18" s="220" t="s">
        <v>62</v>
      </c>
      <c r="X18" s="220" t="s">
        <v>62</v>
      </c>
      <c r="Y18" s="226" t="str">
        <f>IF(Q18&lt;&gt;"",IF(Q18&lt;=1.2,IF(O18="A","CR",IF(V18&lt;&gt;"",IF(Parametre_2018!N$4=1,IF(LEFT(V18,1)="1",IF(V18&lt;&gt;"",IF(Parametre_2018!O$4&lt;&gt;"",IF(N18&lt;=Parametre_2018!O$4,IF(V18&lt;&gt;"",IF(Parametre_2018!P$4&lt;&gt;"",IF(O18&lt;=Parametre_2018!P$4,"PLD",""),"PLD"),""),""),IF(V18&lt;&gt;"",IF(Parametre_2018!P$4&lt;&gt;"",IF(O18&lt;=Parametre_2018!P$4,"PLD",""),"PLD"),"")),""),""),IF(V18&lt;&gt;"",IF(Parametre_2018!O$4&lt;&gt;"",IF(N18&lt;=Parametre_2018!O$4,IF(V18&lt;&gt;"",IF(Parametre_2018!P$4&lt;&gt;"",IF(O18&lt;=Parametre_2018!P$4,"PLD",""),"PLD"),""),""),IF(V18&lt;&gt;"",IF(Parametre_2018!P$4&lt;&gt;"",IF(O18&lt;=Parametre_2018!P$4,"PLD",""),"PLD"),"")),"")),"")),IF(V18&lt;&gt;"",IF(Parametre_2018!N$4=1,IF(LEFT(V18,1)="1",IF(V18&lt;&gt;"",IF(Parametre_2018!O$4&lt;&gt;"",IF(N18&lt;=Parametre_2018!O$4,IF(V18&lt;&gt;"",IF(Parametre_2018!P$4&lt;&gt;"",IF(O18&lt;=Parametre_2018!P$4,"PLD",""),"PLD"),""),""),IF(V18&lt;&gt;"",IF(Parametre_2018!P$4&lt;&gt;"",IF(O18&lt;=Parametre_2018!P$4,"PLD",""),"PLD"),"")),""),""),IF(V18&lt;&gt;"",IF(Parametre_2018!O$4&lt;&gt;"",IF(N18&lt;=Parametre_2018!O$4,IF(V18&lt;&gt;"",IF(Parametre_2018!P$4&lt;&gt;"",IF(O18&lt;=Parametre_2018!P$4,"PLD",""),"PLD"),""),""),IF(V18&lt;&gt;"",IF(Parametre_2018!P$4&lt;&gt;"",IF(O18&lt;=Parametre_2018!P$4,"PLD",""),"PLD"),"")),"")),"")),"")</f>
        <v/>
      </c>
      <c r="Z18" s="220"/>
      <c r="AA18" s="227"/>
      <c r="AB18" s="228" t="str">
        <f>IF(Q18&lt;&gt;"",IF(Q18&lt;=Parametre_2018!B$4,IF(Parametre_2018!C$4&lt;&gt;"",IF(N18&lt;=Parametre_2018!C$4,IF(Parametre_2018!D$4&lt;&gt;"",IF(O18&lt;=Parametre_2018!D$4,"MCL",IF(Parametre_2018!I$4&lt;&gt;"",IF(N18&lt;=Parametre_2018!I$4,IF(Parametre_2018!J$4&lt;&gt;"",IF(O18&lt;=Parametre_2018!J$4,"CL",""),"CL"),""),IF(Parametre_2018!J$4&lt;&gt;"",IF(O18&lt;=Parametre_2018!J$4,"CL",""),"CL"))),"MCL"),IF(Parametre_2018!I$4&lt;&gt;"",IF(N18&lt;=Parametre_2018!I$4,IF(Parametre_2018!J$4&lt;&gt;"",IF(O18&lt;=Parametre_2018!J$4,"CL",""),"CL"),""),IF(Parametre_2018!J$4&lt;&gt;"",IF(O18&lt;=Parametre_2018!J$4,"CL",""),"CL"))),IF(Parametre_2018!D$4&lt;&gt;"",IF(O18&lt;=Parametre_2018!D$4,"MCL",IF(Parametre_2018!I$4&lt;&gt;"",IF(N18&lt;=Parametre_2018!I$4,IF(Parametre_2018!J$4&lt;&gt;"",IF(O18&lt;=Parametre_2018!J$4,"CL",""),"CL"),""),IF(Parametre_2018!J$4&lt;&gt;"",IF(O18&lt;=Parametre_2018!J$4,"CL",""),"CL"))),"MCL")),IF(Q18&lt;&gt;"",IF(AND(Q18&gt;Parametre_2018!B$4,Q18&lt;=Parametre_2018!H$4),IF(Parametre_2018!I$4&lt;&gt;"",IF(N18&lt;=Parametre_2018!I$4,IF(Parametre_2018!J$4&lt;&gt;"",IF(O18&lt;=Parametre_2018!J$4,"CL",""),"CL"),""),IF(Parametre_2018!J$4&lt;&gt;"",IF(O18&lt;=Parametre_2018!J$4,"CL",""),"CL")),""),"")),"")</f>
        <v/>
      </c>
      <c r="AC18" s="169"/>
      <c r="AD18" s="74"/>
      <c r="AE18" s="169"/>
      <c r="AF18" s="169"/>
      <c r="AG18" s="56"/>
      <c r="AH18" s="56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56"/>
      <c r="BA18" s="56"/>
      <c r="BB18" s="56"/>
      <c r="BC18" s="56"/>
      <c r="BD18" s="56"/>
      <c r="BE18" s="56"/>
      <c r="BF18" s="56"/>
      <c r="BG18" s="53"/>
      <c r="BH18" s="53"/>
      <c r="BI18" s="53"/>
      <c r="BJ18" s="53"/>
    </row>
    <row r="19" spans="1:62" s="64" customFormat="1" ht="41.25" customHeight="1" x14ac:dyDescent="0.25">
      <c r="A19" s="152">
        <v>74</v>
      </c>
      <c r="B19" s="152" t="s">
        <v>62</v>
      </c>
      <c r="C19" s="183" t="s">
        <v>415</v>
      </c>
      <c r="D19" s="183" t="s">
        <v>335</v>
      </c>
      <c r="E19" s="184" t="s">
        <v>50</v>
      </c>
      <c r="F19" s="185" t="s">
        <v>471</v>
      </c>
      <c r="G19" s="186">
        <v>43263</v>
      </c>
      <c r="H19" s="192" t="s">
        <v>474</v>
      </c>
      <c r="I19" s="192" t="s">
        <v>44</v>
      </c>
      <c r="J19" s="172" t="s">
        <v>53</v>
      </c>
      <c r="K19" s="164" t="s">
        <v>260</v>
      </c>
      <c r="L19" s="161" t="s">
        <v>120</v>
      </c>
      <c r="M19" s="163" t="s">
        <v>149</v>
      </c>
      <c r="N19" s="178" t="s">
        <v>62</v>
      </c>
      <c r="O19" s="198" t="s">
        <v>62</v>
      </c>
      <c r="P19" s="200">
        <v>1.54</v>
      </c>
      <c r="Q19" s="202">
        <v>1.44</v>
      </c>
      <c r="R19" s="154"/>
      <c r="S19" s="153"/>
      <c r="T19" s="153"/>
      <c r="U19" s="132" t="str">
        <f t="shared" si="0"/>
        <v>Navrh</v>
      </c>
      <c r="V19" s="204" t="s">
        <v>528</v>
      </c>
      <c r="W19" s="204" t="s">
        <v>62</v>
      </c>
      <c r="X19" s="204" t="s">
        <v>62</v>
      </c>
      <c r="Y19" s="226" t="str">
        <f>IF(Q19&lt;&gt;"",IF(Q19&lt;=1.2,IF(O19="A","CR",IF(V19&lt;&gt;"",IF(Parametre_2018!N$4=1,IF(LEFT(V19,1)="1",IF(V19&lt;&gt;"",IF(Parametre_2018!O$4&lt;&gt;"",IF(N19&lt;=Parametre_2018!O$4,IF(V19&lt;&gt;"",IF(Parametre_2018!P$4&lt;&gt;"",IF(O19&lt;=Parametre_2018!P$4,"PLD",""),"PLD"),""),""),IF(V19&lt;&gt;"",IF(Parametre_2018!P$4&lt;&gt;"",IF(O19&lt;=Parametre_2018!P$4,"PLD",""),"PLD"),"")),""),""),IF(V19&lt;&gt;"",IF(Parametre_2018!O$4&lt;&gt;"",IF(N19&lt;=Parametre_2018!O$4,IF(V19&lt;&gt;"",IF(Parametre_2018!P$4&lt;&gt;"",IF(O19&lt;=Parametre_2018!P$4,"PLD",""),"PLD"),""),""),IF(V19&lt;&gt;"",IF(Parametre_2018!P$4&lt;&gt;"",IF(O19&lt;=Parametre_2018!P$4,"PLD",""),"PLD"),"")),"")),"")),IF(V19&lt;&gt;"",IF(Parametre_2018!N$4=1,IF(LEFT(V19,1)="1",IF(V19&lt;&gt;"",IF(Parametre_2018!O$4&lt;&gt;"",IF(N19&lt;=Parametre_2018!O$4,IF(V19&lt;&gt;"",IF(Parametre_2018!P$4&lt;&gt;"",IF(O19&lt;=Parametre_2018!P$4,"PLD",""),"PLD"),""),""),IF(V19&lt;&gt;"",IF(Parametre_2018!P$4&lt;&gt;"",IF(O19&lt;=Parametre_2018!P$4,"PLD",""),"PLD"),"")),""),""),IF(V19&lt;&gt;"",IF(Parametre_2018!O$4&lt;&gt;"",IF(N19&lt;=Parametre_2018!O$4,IF(V19&lt;&gt;"",IF(Parametre_2018!P$4&lt;&gt;"",IF(O19&lt;=Parametre_2018!P$4,"PLD",""),"PLD"),""),""),IF(V19&lt;&gt;"",IF(Parametre_2018!P$4&lt;&gt;"",IF(O19&lt;=Parametre_2018!P$4,"PLD",""),"PLD"),"")),"")),"")),"")</f>
        <v>PLD</v>
      </c>
      <c r="Z19" s="58" t="s">
        <v>15</v>
      </c>
      <c r="AA19" s="227" t="s">
        <v>15</v>
      </c>
      <c r="AB19" s="228" t="str">
        <f>IF(Q19&lt;&gt;"",IF(Q19&lt;=Parametre_2018!B$4,IF(Parametre_2018!C$4&lt;&gt;"",IF(N19&lt;=Parametre_2018!C$4,IF(Parametre_2018!D$4&lt;&gt;"",IF(O19&lt;=Parametre_2018!D$4,"MCL",IF(Parametre_2018!I$4&lt;&gt;"",IF(N19&lt;=Parametre_2018!I$4,IF(Parametre_2018!J$4&lt;&gt;"",IF(O19&lt;=Parametre_2018!J$4,"CL",""),"CL"),""),IF(Parametre_2018!J$4&lt;&gt;"",IF(O19&lt;=Parametre_2018!J$4,"CL",""),"CL"))),"MCL"),IF(Parametre_2018!I$4&lt;&gt;"",IF(N19&lt;=Parametre_2018!I$4,IF(Parametre_2018!J$4&lt;&gt;"",IF(O19&lt;=Parametre_2018!J$4,"CL",""),"CL"),""),IF(Parametre_2018!J$4&lt;&gt;"",IF(O19&lt;=Parametre_2018!J$4,"CL",""),"CL"))),IF(Parametre_2018!D$4&lt;&gt;"",IF(O19&lt;=Parametre_2018!D$4,"MCL",IF(Parametre_2018!I$4&lt;&gt;"",IF(N19&lt;=Parametre_2018!I$4,IF(Parametre_2018!J$4&lt;&gt;"",IF(O19&lt;=Parametre_2018!J$4,"CL",""),"CL"),""),IF(Parametre_2018!J$4&lt;&gt;"",IF(O19&lt;=Parametre_2018!J$4,"CL",""),"CL"))),"MCL")),IF(Q19&lt;&gt;"",IF(AND(Q19&gt;Parametre_2018!B$4,Q19&lt;=Parametre_2018!H$4),IF(Parametre_2018!I$4&lt;&gt;"",IF(N19&lt;=Parametre_2018!I$4,IF(Parametre_2018!J$4&lt;&gt;"",IF(O19&lt;=Parametre_2018!J$4,"CL",""),"CL"),""),IF(Parametre_2018!J$4&lt;&gt;"",IF(O19&lt;=Parametre_2018!J$4,"CL",""),"CL")),""),"")),"")</f>
        <v/>
      </c>
      <c r="AC19" s="153"/>
      <c r="AD19" s="74"/>
      <c r="AE19" s="54" t="s">
        <v>537</v>
      </c>
      <c r="AF19" s="153"/>
      <c r="AG19" s="56"/>
      <c r="AH19" s="56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</row>
    <row r="20" spans="1:62" s="56" customFormat="1" ht="41.25" customHeight="1" x14ac:dyDescent="0.25">
      <c r="A20" s="152">
        <v>49</v>
      </c>
      <c r="B20" s="152" t="s">
        <v>62</v>
      </c>
      <c r="C20" s="183" t="s">
        <v>382</v>
      </c>
      <c r="D20" s="183" t="s">
        <v>52</v>
      </c>
      <c r="E20" s="184" t="s">
        <v>50</v>
      </c>
      <c r="F20" s="185" t="s">
        <v>471</v>
      </c>
      <c r="G20" s="195">
        <v>43262</v>
      </c>
      <c r="H20" s="188" t="s">
        <v>487</v>
      </c>
      <c r="I20" s="234" t="s">
        <v>19</v>
      </c>
      <c r="J20" s="219" t="s">
        <v>488</v>
      </c>
      <c r="K20" s="164" t="s">
        <v>235</v>
      </c>
      <c r="L20" s="161" t="s">
        <v>142</v>
      </c>
      <c r="M20" s="163" t="s">
        <v>117</v>
      </c>
      <c r="N20" s="181" t="s">
        <v>62</v>
      </c>
      <c r="O20" s="198" t="s">
        <v>62</v>
      </c>
      <c r="P20" s="200">
        <v>1.53</v>
      </c>
      <c r="Q20" s="202">
        <v>1.47</v>
      </c>
      <c r="R20" s="209"/>
      <c r="S20" s="169"/>
      <c r="T20" s="169"/>
      <c r="U20" s="132" t="str">
        <f t="shared" si="0"/>
        <v>Navrh</v>
      </c>
      <c r="V20" s="220">
        <v>2</v>
      </c>
      <c r="W20" s="220" t="s">
        <v>62</v>
      </c>
      <c r="X20" s="220" t="s">
        <v>62</v>
      </c>
      <c r="Y20" s="226" t="str">
        <f>IF(Q20&lt;&gt;"",IF(Q20&lt;=1.2,IF(O20="A","CR",IF(V20&lt;&gt;"",IF(Parametre_2018!N$4=1,IF(LEFT(V20,1)="1",IF(V20&lt;&gt;"",IF(Parametre_2018!O$4&lt;&gt;"",IF(N20&lt;=Parametre_2018!O$4,IF(V20&lt;&gt;"",IF(Parametre_2018!P$4&lt;&gt;"",IF(O20&lt;=Parametre_2018!P$4,"PLD",""),"PLD"),""),""),IF(V20&lt;&gt;"",IF(Parametre_2018!P$4&lt;&gt;"",IF(O20&lt;=Parametre_2018!P$4,"PLD",""),"PLD"),"")),""),""),IF(V20&lt;&gt;"",IF(Parametre_2018!O$4&lt;&gt;"",IF(N20&lt;=Parametre_2018!O$4,IF(V20&lt;&gt;"",IF(Parametre_2018!P$4&lt;&gt;"",IF(O20&lt;=Parametre_2018!P$4,"PLD",""),"PLD"),""),""),IF(V20&lt;&gt;"",IF(Parametre_2018!P$4&lt;&gt;"",IF(O20&lt;=Parametre_2018!P$4,"PLD",""),"PLD"),"")),"")),"")),IF(V20&lt;&gt;"",IF(Parametre_2018!N$4=1,IF(LEFT(V20,1)="1",IF(V20&lt;&gt;"",IF(Parametre_2018!O$4&lt;&gt;"",IF(N20&lt;=Parametre_2018!O$4,IF(V20&lt;&gt;"",IF(Parametre_2018!P$4&lt;&gt;"",IF(O20&lt;=Parametre_2018!P$4,"PLD",""),"PLD"),""),""),IF(V20&lt;&gt;"",IF(Parametre_2018!P$4&lt;&gt;"",IF(O20&lt;=Parametre_2018!P$4,"PLD",""),"PLD"),"")),""),""),IF(V20&lt;&gt;"",IF(Parametre_2018!O$4&lt;&gt;"",IF(N20&lt;=Parametre_2018!O$4,IF(V20&lt;&gt;"",IF(Parametre_2018!P$4&lt;&gt;"",IF(O20&lt;=Parametre_2018!P$4,"PLD",""),"PLD"),""),""),IF(V20&lt;&gt;"",IF(Parametre_2018!P$4&lt;&gt;"",IF(O20&lt;=Parametre_2018!P$4,"PLD",""),"PLD"),"")),"")),"")),"")</f>
        <v>PLD</v>
      </c>
      <c r="Z20" s="58" t="s">
        <v>15</v>
      </c>
      <c r="AA20" s="227" t="s">
        <v>15</v>
      </c>
      <c r="AB20" s="228" t="str">
        <f>IF(Q20&lt;&gt;"",IF(Q20&lt;=Parametre_2018!B$4,IF(Parametre_2018!C$4&lt;&gt;"",IF(N20&lt;=Parametre_2018!C$4,IF(Parametre_2018!D$4&lt;&gt;"",IF(O20&lt;=Parametre_2018!D$4,"MCL",IF(Parametre_2018!I$4&lt;&gt;"",IF(N20&lt;=Parametre_2018!I$4,IF(Parametre_2018!J$4&lt;&gt;"",IF(O20&lt;=Parametre_2018!J$4,"CL",""),"CL"),""),IF(Parametre_2018!J$4&lt;&gt;"",IF(O20&lt;=Parametre_2018!J$4,"CL",""),"CL"))),"MCL"),IF(Parametre_2018!I$4&lt;&gt;"",IF(N20&lt;=Parametre_2018!I$4,IF(Parametre_2018!J$4&lt;&gt;"",IF(O20&lt;=Parametre_2018!J$4,"CL",""),"CL"),""),IF(Parametre_2018!J$4&lt;&gt;"",IF(O20&lt;=Parametre_2018!J$4,"CL",""),"CL"))),IF(Parametre_2018!D$4&lt;&gt;"",IF(O20&lt;=Parametre_2018!D$4,"MCL",IF(Parametre_2018!I$4&lt;&gt;"",IF(N20&lt;=Parametre_2018!I$4,IF(Parametre_2018!J$4&lt;&gt;"",IF(O20&lt;=Parametre_2018!J$4,"CL",""),"CL"),""),IF(Parametre_2018!J$4&lt;&gt;"",IF(O20&lt;=Parametre_2018!J$4,"CL",""),"CL"))),"MCL")),IF(Q20&lt;&gt;"",IF(AND(Q20&gt;Parametre_2018!B$4,Q20&lt;=Parametre_2018!H$4),IF(Parametre_2018!I$4&lt;&gt;"",IF(N20&lt;=Parametre_2018!I$4,IF(Parametre_2018!J$4&lt;&gt;"",IF(O20&lt;=Parametre_2018!J$4,"CL",""),"CL"),""),IF(Parametre_2018!J$4&lt;&gt;"",IF(O20&lt;=Parametre_2018!J$4,"CL",""),"CL")),""),"")),"")</f>
        <v/>
      </c>
      <c r="AC20" s="169"/>
      <c r="AD20" s="74"/>
      <c r="AE20" s="54" t="s">
        <v>537</v>
      </c>
      <c r="AF20" s="169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</row>
    <row r="21" spans="1:62" s="56" customFormat="1" ht="41.25" customHeight="1" x14ac:dyDescent="0.25">
      <c r="A21" s="152">
        <v>85</v>
      </c>
      <c r="B21" s="152" t="s">
        <v>62</v>
      </c>
      <c r="C21" s="183" t="s">
        <v>431</v>
      </c>
      <c r="D21" s="183" t="s">
        <v>432</v>
      </c>
      <c r="E21" s="184" t="s">
        <v>50</v>
      </c>
      <c r="F21" s="183" t="s">
        <v>471</v>
      </c>
      <c r="G21" s="186">
        <v>43263</v>
      </c>
      <c r="H21" s="187" t="s">
        <v>477</v>
      </c>
      <c r="I21" s="192" t="s">
        <v>478</v>
      </c>
      <c r="J21" s="172" t="s">
        <v>476</v>
      </c>
      <c r="K21" s="164" t="s">
        <v>271</v>
      </c>
      <c r="L21" s="161" t="s">
        <v>162</v>
      </c>
      <c r="M21" s="163" t="s">
        <v>119</v>
      </c>
      <c r="N21" s="178" t="s">
        <v>60</v>
      </c>
      <c r="O21" s="198" t="s">
        <v>62</v>
      </c>
      <c r="P21" s="200">
        <v>1.63</v>
      </c>
      <c r="Q21" s="202">
        <v>1.5</v>
      </c>
      <c r="R21" s="214" t="s">
        <v>93</v>
      </c>
      <c r="S21" s="174"/>
      <c r="T21" s="174"/>
      <c r="U21" s="132" t="str">
        <f t="shared" si="0"/>
        <v>Navrh</v>
      </c>
      <c r="V21" s="204">
        <v>1</v>
      </c>
      <c r="W21" s="152"/>
      <c r="X21" s="155"/>
      <c r="Y21" s="226" t="str">
        <f>IF(Q21&lt;&gt;"",IF(Q21&lt;=1.2,IF(O21="A","CR",IF(V21&lt;&gt;"",IF(Parametre_2018!N$4=1,IF(LEFT(V21,1)="1",IF(V21&lt;&gt;"",IF(Parametre_2018!O$4&lt;&gt;"",IF(N21&lt;=Parametre_2018!O$4,IF(V21&lt;&gt;"",IF(Parametre_2018!P$4&lt;&gt;"",IF(O21&lt;=Parametre_2018!P$4,"PLD",""),"PLD"),""),""),IF(V21&lt;&gt;"",IF(Parametre_2018!P$4&lt;&gt;"",IF(O21&lt;=Parametre_2018!P$4,"PLD",""),"PLD"),"")),""),""),IF(V21&lt;&gt;"",IF(Parametre_2018!O$4&lt;&gt;"",IF(N21&lt;=Parametre_2018!O$4,IF(V21&lt;&gt;"",IF(Parametre_2018!P$4&lt;&gt;"",IF(O21&lt;=Parametre_2018!P$4,"PLD",""),"PLD"),""),""),IF(V21&lt;&gt;"",IF(Parametre_2018!P$4&lt;&gt;"",IF(O21&lt;=Parametre_2018!P$4,"PLD",""),"PLD"),"")),"")),"")),IF(V21&lt;&gt;"",IF(Parametre_2018!N$4=1,IF(LEFT(V21,1)="1",IF(V21&lt;&gt;"",IF(Parametre_2018!O$4&lt;&gt;"",IF(N21&lt;=Parametre_2018!O$4,IF(V21&lt;&gt;"",IF(Parametre_2018!P$4&lt;&gt;"",IF(O21&lt;=Parametre_2018!P$4,"PLD",""),"PLD"),""),""),IF(V21&lt;&gt;"",IF(Parametre_2018!P$4&lt;&gt;"",IF(O21&lt;=Parametre_2018!P$4,"PLD",""),"PLD"),"")),""),""),IF(V21&lt;&gt;"",IF(Parametre_2018!O$4&lt;&gt;"",IF(N21&lt;=Parametre_2018!O$4,IF(V21&lt;&gt;"",IF(Parametre_2018!P$4&lt;&gt;"",IF(O21&lt;=Parametre_2018!P$4,"PLD",""),"PLD"),""),""),IF(V21&lt;&gt;"",IF(Parametre_2018!P$4&lt;&gt;"",IF(O21&lt;=Parametre_2018!P$4,"PLD",""),"PLD"),"")),"")),"")),"")</f>
        <v>PLD</v>
      </c>
      <c r="Z21" s="58" t="s">
        <v>15</v>
      </c>
      <c r="AA21" s="227" t="s">
        <v>15</v>
      </c>
      <c r="AB21" s="228" t="str">
        <f>IF(Q21&lt;&gt;"",IF(Q21&lt;=Parametre_2018!B$4,IF(Parametre_2018!C$4&lt;&gt;"",IF(N21&lt;=Parametre_2018!C$4,IF(Parametre_2018!D$4&lt;&gt;"",IF(O21&lt;=Parametre_2018!D$4,"MCL",IF(Parametre_2018!I$4&lt;&gt;"",IF(N21&lt;=Parametre_2018!I$4,IF(Parametre_2018!J$4&lt;&gt;"",IF(O21&lt;=Parametre_2018!J$4,"CL",""),"CL"),""),IF(Parametre_2018!J$4&lt;&gt;"",IF(O21&lt;=Parametre_2018!J$4,"CL",""),"CL"))),"MCL"),IF(Parametre_2018!I$4&lt;&gt;"",IF(N21&lt;=Parametre_2018!I$4,IF(Parametre_2018!J$4&lt;&gt;"",IF(O21&lt;=Parametre_2018!J$4,"CL",""),"CL"),""),IF(Parametre_2018!J$4&lt;&gt;"",IF(O21&lt;=Parametre_2018!J$4,"CL",""),"CL"))),IF(Parametre_2018!D$4&lt;&gt;"",IF(O21&lt;=Parametre_2018!D$4,"MCL",IF(Parametre_2018!I$4&lt;&gt;"",IF(N21&lt;=Parametre_2018!I$4,IF(Parametre_2018!J$4&lt;&gt;"",IF(O21&lt;=Parametre_2018!J$4,"CL",""),"CL"),""),IF(Parametre_2018!J$4&lt;&gt;"",IF(O21&lt;=Parametre_2018!J$4,"CL",""),"CL"))),"MCL")),IF(Q21&lt;&gt;"",IF(AND(Q21&gt;Parametre_2018!B$4,Q21&lt;=Parametre_2018!H$4),IF(Parametre_2018!I$4&lt;&gt;"",IF(N21&lt;=Parametre_2018!I$4,IF(Parametre_2018!J$4&lt;&gt;"",IF(O21&lt;=Parametre_2018!J$4,"CL",""),"CL"),""),IF(Parametre_2018!J$4&lt;&gt;"",IF(O21&lt;=Parametre_2018!J$4,"CL",""),"CL")),""),"")),"")</f>
        <v/>
      </c>
      <c r="AC21" s="155"/>
      <c r="AD21" s="74"/>
      <c r="AE21" s="54"/>
      <c r="AF21" s="175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</row>
    <row r="22" spans="1:62" s="56" customFormat="1" ht="41.25" customHeight="1" x14ac:dyDescent="0.25">
      <c r="A22" s="152">
        <v>103</v>
      </c>
      <c r="B22" s="152" t="s">
        <v>62</v>
      </c>
      <c r="C22" s="183" t="s">
        <v>453</v>
      </c>
      <c r="D22" s="183" t="s">
        <v>335</v>
      </c>
      <c r="E22" s="189" t="s">
        <v>50</v>
      </c>
      <c r="F22" s="185" t="s">
        <v>471</v>
      </c>
      <c r="G22" s="195">
        <v>43262</v>
      </c>
      <c r="H22" s="188" t="s">
        <v>493</v>
      </c>
      <c r="I22" s="234" t="s">
        <v>478</v>
      </c>
      <c r="J22" s="219" t="s">
        <v>494</v>
      </c>
      <c r="K22" s="164" t="s">
        <v>289</v>
      </c>
      <c r="L22" s="161" t="s">
        <v>152</v>
      </c>
      <c r="M22" s="163" t="s">
        <v>138</v>
      </c>
      <c r="N22" s="178" t="s">
        <v>62</v>
      </c>
      <c r="O22" s="198" t="s">
        <v>62</v>
      </c>
      <c r="P22" s="200">
        <v>1.62</v>
      </c>
      <c r="Q22" s="202">
        <v>1.55</v>
      </c>
      <c r="R22" s="213"/>
      <c r="S22" s="174"/>
      <c r="T22" s="174"/>
      <c r="U22" s="132" t="str">
        <f t="shared" si="0"/>
        <v/>
      </c>
      <c r="V22" s="152"/>
      <c r="W22" s="152"/>
      <c r="X22" s="204" t="s">
        <v>62</v>
      </c>
      <c r="Y22" s="226" t="str">
        <f>IF(Q22&lt;&gt;"",IF(Q22&lt;=1.2,IF(O22="A","CR",IF(V22&lt;&gt;"",IF(Parametre_2018!N$4=1,IF(LEFT(V22,1)="1",IF(V22&lt;&gt;"",IF(Parametre_2018!O$4&lt;&gt;"",IF(N22&lt;=Parametre_2018!O$4,IF(V22&lt;&gt;"",IF(Parametre_2018!P$4&lt;&gt;"",IF(O22&lt;=Parametre_2018!P$4,"PLD",""),"PLD"),""),""),IF(V22&lt;&gt;"",IF(Parametre_2018!P$4&lt;&gt;"",IF(O22&lt;=Parametre_2018!P$4,"PLD",""),"PLD"),"")),""),""),IF(V22&lt;&gt;"",IF(Parametre_2018!O$4&lt;&gt;"",IF(N22&lt;=Parametre_2018!O$4,IF(V22&lt;&gt;"",IF(Parametre_2018!P$4&lt;&gt;"",IF(O22&lt;=Parametre_2018!P$4,"PLD",""),"PLD"),""),""),IF(V22&lt;&gt;"",IF(Parametre_2018!P$4&lt;&gt;"",IF(O22&lt;=Parametre_2018!P$4,"PLD",""),"PLD"),"")),"")),"")),IF(V22&lt;&gt;"",IF(Parametre_2018!N$4=1,IF(LEFT(V22,1)="1",IF(V22&lt;&gt;"",IF(Parametre_2018!O$4&lt;&gt;"",IF(N22&lt;=Parametre_2018!O$4,IF(V22&lt;&gt;"",IF(Parametre_2018!P$4&lt;&gt;"",IF(O22&lt;=Parametre_2018!P$4,"PLD",""),"PLD"),""),""),IF(V22&lt;&gt;"",IF(Parametre_2018!P$4&lt;&gt;"",IF(O22&lt;=Parametre_2018!P$4,"PLD",""),"PLD"),"")),""),""),IF(V22&lt;&gt;"",IF(Parametre_2018!O$4&lt;&gt;"",IF(N22&lt;=Parametre_2018!O$4,IF(V22&lt;&gt;"",IF(Parametre_2018!P$4&lt;&gt;"",IF(O22&lt;=Parametre_2018!P$4,"PLD",""),"PLD"),""),""),IF(V22&lt;&gt;"",IF(Parametre_2018!P$4&lt;&gt;"",IF(O22&lt;=Parametre_2018!P$4,"PLD",""),"PLD"),"")),"")),"")),"")</f>
        <v/>
      </c>
      <c r="Z22" s="152"/>
      <c r="AA22" s="227"/>
      <c r="AB22" s="228" t="str">
        <f>IF(Q22&lt;&gt;"",IF(Q22&lt;=Parametre_2018!B$4,IF(Parametre_2018!C$4&lt;&gt;"",IF(N22&lt;=Parametre_2018!C$4,IF(Parametre_2018!D$4&lt;&gt;"",IF(O22&lt;=Parametre_2018!D$4,"MCL",IF(Parametre_2018!I$4&lt;&gt;"",IF(N22&lt;=Parametre_2018!I$4,IF(Parametre_2018!J$4&lt;&gt;"",IF(O22&lt;=Parametre_2018!J$4,"CL",""),"CL"),""),IF(Parametre_2018!J$4&lt;&gt;"",IF(O22&lt;=Parametre_2018!J$4,"CL",""),"CL"))),"MCL"),IF(Parametre_2018!I$4&lt;&gt;"",IF(N22&lt;=Parametre_2018!I$4,IF(Parametre_2018!J$4&lt;&gt;"",IF(O22&lt;=Parametre_2018!J$4,"CL",""),"CL"),""),IF(Parametre_2018!J$4&lt;&gt;"",IF(O22&lt;=Parametre_2018!J$4,"CL",""),"CL"))),IF(Parametre_2018!D$4&lt;&gt;"",IF(O22&lt;=Parametre_2018!D$4,"MCL",IF(Parametre_2018!I$4&lt;&gt;"",IF(N22&lt;=Parametre_2018!I$4,IF(Parametre_2018!J$4&lt;&gt;"",IF(O22&lt;=Parametre_2018!J$4,"CL",""),"CL"),""),IF(Parametre_2018!J$4&lt;&gt;"",IF(O22&lt;=Parametre_2018!J$4,"CL",""),"CL"))),"MCL")),IF(Q22&lt;&gt;"",IF(AND(Q22&gt;Parametre_2018!B$4,Q22&lt;=Parametre_2018!H$4),IF(Parametre_2018!I$4&lt;&gt;"",IF(N22&lt;=Parametre_2018!I$4,IF(Parametre_2018!J$4&lt;&gt;"",IF(O22&lt;=Parametre_2018!J$4,"CL",""),"CL"),""),IF(Parametre_2018!J$4&lt;&gt;"",IF(O22&lt;=Parametre_2018!J$4,"CL",""),"CL")),""),"")),"")</f>
        <v/>
      </c>
      <c r="AC22" s="155"/>
      <c r="AD22" s="74"/>
      <c r="AE22" s="155"/>
      <c r="AF22" s="175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</row>
    <row r="23" spans="1:62" s="56" customFormat="1" ht="41.25" customHeight="1" x14ac:dyDescent="0.25">
      <c r="A23" s="152">
        <v>107</v>
      </c>
      <c r="B23" s="152" t="s">
        <v>504</v>
      </c>
      <c r="C23" s="183" t="s">
        <v>457</v>
      </c>
      <c r="D23" s="183" t="s">
        <v>458</v>
      </c>
      <c r="E23" s="184" t="s">
        <v>50</v>
      </c>
      <c r="F23" s="185" t="s">
        <v>470</v>
      </c>
      <c r="G23" s="195">
        <v>43262</v>
      </c>
      <c r="H23" s="192" t="s">
        <v>502</v>
      </c>
      <c r="I23" s="192" t="s">
        <v>485</v>
      </c>
      <c r="J23" s="194" t="s">
        <v>503</v>
      </c>
      <c r="K23" s="164" t="s">
        <v>293</v>
      </c>
      <c r="L23" s="161" t="s">
        <v>169</v>
      </c>
      <c r="M23" s="163" t="s">
        <v>174</v>
      </c>
      <c r="N23" s="178" t="s">
        <v>62</v>
      </c>
      <c r="O23" s="198" t="s">
        <v>62</v>
      </c>
      <c r="P23" s="200">
        <v>1.6</v>
      </c>
      <c r="Q23" s="202">
        <v>1.55</v>
      </c>
      <c r="R23" s="213"/>
      <c r="S23" s="222" t="s">
        <v>62</v>
      </c>
      <c r="T23" s="222"/>
      <c r="U23" s="132" t="str">
        <f t="shared" si="0"/>
        <v/>
      </c>
      <c r="V23" s="152"/>
      <c r="W23" s="152"/>
      <c r="X23" s="155"/>
      <c r="Y23" s="226" t="str">
        <f>IF(Q23&lt;&gt;"",IF(Q23&lt;=1.2,IF(O23="A","CR",IF(V23&lt;&gt;"",IF(Parametre_2018!N$4=1,IF(LEFT(V23,1)="1",IF(V23&lt;&gt;"",IF(Parametre_2018!O$4&lt;&gt;"",IF(N23&lt;=Parametre_2018!O$4,IF(V23&lt;&gt;"",IF(Parametre_2018!P$4&lt;&gt;"",IF(O23&lt;=Parametre_2018!P$4,"PLD",""),"PLD"),""),""),IF(V23&lt;&gt;"",IF(Parametre_2018!P$4&lt;&gt;"",IF(O23&lt;=Parametre_2018!P$4,"PLD",""),"PLD"),"")),""),""),IF(V23&lt;&gt;"",IF(Parametre_2018!O$4&lt;&gt;"",IF(N23&lt;=Parametre_2018!O$4,IF(V23&lt;&gt;"",IF(Parametre_2018!P$4&lt;&gt;"",IF(O23&lt;=Parametre_2018!P$4,"PLD",""),"PLD"),""),""),IF(V23&lt;&gt;"",IF(Parametre_2018!P$4&lt;&gt;"",IF(O23&lt;=Parametre_2018!P$4,"PLD",""),"PLD"),"")),"")),"")),IF(V23&lt;&gt;"",IF(Parametre_2018!N$4=1,IF(LEFT(V23,1)="1",IF(V23&lt;&gt;"",IF(Parametre_2018!O$4&lt;&gt;"",IF(N23&lt;=Parametre_2018!O$4,IF(V23&lt;&gt;"",IF(Parametre_2018!P$4&lt;&gt;"",IF(O23&lt;=Parametre_2018!P$4,"PLD",""),"PLD"),""),""),IF(V23&lt;&gt;"",IF(Parametre_2018!P$4&lt;&gt;"",IF(O23&lt;=Parametre_2018!P$4,"PLD",""),"PLD"),"")),""),""),IF(V23&lt;&gt;"",IF(Parametre_2018!O$4&lt;&gt;"",IF(N23&lt;=Parametre_2018!O$4,IF(V23&lt;&gt;"",IF(Parametre_2018!P$4&lt;&gt;"",IF(O23&lt;=Parametre_2018!P$4,"PLD",""),"PLD"),""),""),IF(V23&lt;&gt;"",IF(Parametre_2018!P$4&lt;&gt;"",IF(O23&lt;=Parametre_2018!P$4,"PLD",""),"PLD"),"")),"")),"")),"")</f>
        <v/>
      </c>
      <c r="Z23" s="152"/>
      <c r="AA23" s="227"/>
      <c r="AB23" s="228" t="str">
        <f>IF(Q23&lt;&gt;"",IF(Q23&lt;=Parametre_2018!B$4,IF(Parametre_2018!C$4&lt;&gt;"",IF(N23&lt;=Parametre_2018!C$4,IF(Parametre_2018!D$4&lt;&gt;"",IF(O23&lt;=Parametre_2018!D$4,"MCL",IF(Parametre_2018!I$4&lt;&gt;"",IF(N23&lt;=Parametre_2018!I$4,IF(Parametre_2018!J$4&lt;&gt;"",IF(O23&lt;=Parametre_2018!J$4,"CL",""),"CL"),""),IF(Parametre_2018!J$4&lt;&gt;"",IF(O23&lt;=Parametre_2018!J$4,"CL",""),"CL"))),"MCL"),IF(Parametre_2018!I$4&lt;&gt;"",IF(N23&lt;=Parametre_2018!I$4,IF(Parametre_2018!J$4&lt;&gt;"",IF(O23&lt;=Parametre_2018!J$4,"CL",""),"CL"),""),IF(Parametre_2018!J$4&lt;&gt;"",IF(O23&lt;=Parametre_2018!J$4,"CL",""),"CL"))),IF(Parametre_2018!D$4&lt;&gt;"",IF(O23&lt;=Parametre_2018!D$4,"MCL",IF(Parametre_2018!I$4&lt;&gt;"",IF(N23&lt;=Parametre_2018!I$4,IF(Parametre_2018!J$4&lt;&gt;"",IF(O23&lt;=Parametre_2018!J$4,"CL",""),"CL"),""),IF(Parametre_2018!J$4&lt;&gt;"",IF(O23&lt;=Parametre_2018!J$4,"CL",""),"CL"))),"MCL")),IF(Q23&lt;&gt;"",IF(AND(Q23&gt;Parametre_2018!B$4,Q23&lt;=Parametre_2018!H$4),IF(Parametre_2018!I$4&lt;&gt;"",IF(N23&lt;=Parametre_2018!I$4,IF(Parametre_2018!J$4&lt;&gt;"",IF(O23&lt;=Parametre_2018!J$4,"CL",""),"CL"),""),IF(Parametre_2018!J$4&lt;&gt;"",IF(O23&lt;=Parametre_2018!J$4,"CL",""),"CL")),""),"")),"")</f>
        <v/>
      </c>
      <c r="AC23" s="155"/>
      <c r="AD23" s="74"/>
      <c r="AE23" s="155"/>
      <c r="AF23" s="175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</row>
    <row r="24" spans="1:62" s="61" customFormat="1" ht="41.25" customHeight="1" x14ac:dyDescent="0.25">
      <c r="A24" s="152">
        <v>57</v>
      </c>
      <c r="B24" s="152" t="s">
        <v>62</v>
      </c>
      <c r="C24" s="183" t="s">
        <v>393</v>
      </c>
      <c r="D24" s="183" t="s">
        <v>351</v>
      </c>
      <c r="E24" s="184" t="s">
        <v>50</v>
      </c>
      <c r="F24" s="185" t="s">
        <v>470</v>
      </c>
      <c r="G24" s="195">
        <v>43262</v>
      </c>
      <c r="H24" s="187" t="s">
        <v>495</v>
      </c>
      <c r="I24" s="192" t="s">
        <v>496</v>
      </c>
      <c r="J24" s="194" t="s">
        <v>497</v>
      </c>
      <c r="K24" s="164" t="s">
        <v>243</v>
      </c>
      <c r="L24" s="161" t="s">
        <v>151</v>
      </c>
      <c r="M24" s="163" t="s">
        <v>158</v>
      </c>
      <c r="N24" s="181" t="s">
        <v>62</v>
      </c>
      <c r="O24" s="198" t="s">
        <v>62</v>
      </c>
      <c r="P24" s="200">
        <v>1.61</v>
      </c>
      <c r="Q24" s="202">
        <v>1.56</v>
      </c>
      <c r="R24" s="209"/>
      <c r="S24" s="169"/>
      <c r="T24" s="169"/>
      <c r="U24" s="132" t="str">
        <f t="shared" si="0"/>
        <v>Navrh</v>
      </c>
      <c r="V24" s="220">
        <v>1</v>
      </c>
      <c r="W24" s="220"/>
      <c r="X24" s="220" t="s">
        <v>62</v>
      </c>
      <c r="Y24" s="226" t="str">
        <f>IF(Q24&lt;&gt;"",IF(Q24&lt;=1.2,IF(O24="A","CR",IF(V24&lt;&gt;"",IF(Parametre_2018!N$4=1,IF(LEFT(V24,1)="1",IF(V24&lt;&gt;"",IF(Parametre_2018!O$4&lt;&gt;"",IF(N24&lt;=Parametre_2018!O$4,IF(V24&lt;&gt;"",IF(Parametre_2018!P$4&lt;&gt;"",IF(O24&lt;=Parametre_2018!P$4,"PLD",""),"PLD"),""),""),IF(V24&lt;&gt;"",IF(Parametre_2018!P$4&lt;&gt;"",IF(O24&lt;=Parametre_2018!P$4,"PLD",""),"PLD"),"")),""),""),IF(V24&lt;&gt;"",IF(Parametre_2018!O$4&lt;&gt;"",IF(N24&lt;=Parametre_2018!O$4,IF(V24&lt;&gt;"",IF(Parametre_2018!P$4&lt;&gt;"",IF(O24&lt;=Parametre_2018!P$4,"PLD",""),"PLD"),""),""),IF(V24&lt;&gt;"",IF(Parametre_2018!P$4&lt;&gt;"",IF(O24&lt;=Parametre_2018!P$4,"PLD",""),"PLD"),"")),"")),"")),IF(V24&lt;&gt;"",IF(Parametre_2018!N$4=1,IF(LEFT(V24,1)="1",IF(V24&lt;&gt;"",IF(Parametre_2018!O$4&lt;&gt;"",IF(N24&lt;=Parametre_2018!O$4,IF(V24&lt;&gt;"",IF(Parametre_2018!P$4&lt;&gt;"",IF(O24&lt;=Parametre_2018!P$4,"PLD",""),"PLD"),""),""),IF(V24&lt;&gt;"",IF(Parametre_2018!P$4&lt;&gt;"",IF(O24&lt;=Parametre_2018!P$4,"PLD",""),"PLD"),"")),""),""),IF(V24&lt;&gt;"",IF(Parametre_2018!O$4&lt;&gt;"",IF(N24&lt;=Parametre_2018!O$4,IF(V24&lt;&gt;"",IF(Parametre_2018!P$4&lt;&gt;"",IF(O24&lt;=Parametre_2018!P$4,"PLD",""),"PLD"),""),""),IF(V24&lt;&gt;"",IF(Parametre_2018!P$4&lt;&gt;"",IF(O24&lt;=Parametre_2018!P$4,"PLD",""),"PLD"),"")),"")),"")),"")</f>
        <v>PLD</v>
      </c>
      <c r="Z24" s="58" t="s">
        <v>15</v>
      </c>
      <c r="AA24" s="227" t="s">
        <v>15</v>
      </c>
      <c r="AB24" s="228" t="str">
        <f>IF(Q24&lt;&gt;"",IF(Q24&lt;=Parametre_2018!B$4,IF(Parametre_2018!C$4&lt;&gt;"",IF(N24&lt;=Parametre_2018!C$4,IF(Parametre_2018!D$4&lt;&gt;"",IF(O24&lt;=Parametre_2018!D$4,"MCL",IF(Parametre_2018!I$4&lt;&gt;"",IF(N24&lt;=Parametre_2018!I$4,IF(Parametre_2018!J$4&lt;&gt;"",IF(O24&lt;=Parametre_2018!J$4,"CL",""),"CL"),""),IF(Parametre_2018!J$4&lt;&gt;"",IF(O24&lt;=Parametre_2018!J$4,"CL",""),"CL"))),"MCL"),IF(Parametre_2018!I$4&lt;&gt;"",IF(N24&lt;=Parametre_2018!I$4,IF(Parametre_2018!J$4&lt;&gt;"",IF(O24&lt;=Parametre_2018!J$4,"CL",""),"CL"),""),IF(Parametre_2018!J$4&lt;&gt;"",IF(O24&lt;=Parametre_2018!J$4,"CL",""),"CL"))),IF(Parametre_2018!D$4&lt;&gt;"",IF(O24&lt;=Parametre_2018!D$4,"MCL",IF(Parametre_2018!I$4&lt;&gt;"",IF(N24&lt;=Parametre_2018!I$4,IF(Parametre_2018!J$4&lt;&gt;"",IF(O24&lt;=Parametre_2018!J$4,"CL",""),"CL"),""),IF(Parametre_2018!J$4&lt;&gt;"",IF(O24&lt;=Parametre_2018!J$4,"CL",""),"CL"))),"MCL")),IF(Q24&lt;&gt;"",IF(AND(Q24&gt;Parametre_2018!B$4,Q24&lt;=Parametre_2018!H$4),IF(Parametre_2018!I$4&lt;&gt;"",IF(N24&lt;=Parametre_2018!I$4,IF(Parametre_2018!J$4&lt;&gt;"",IF(O24&lt;=Parametre_2018!J$4,"CL",""),"CL"),""),IF(Parametre_2018!J$4&lt;&gt;"",IF(O24&lt;=Parametre_2018!J$4,"CL",""),"CL")),""),"")),"")</f>
        <v/>
      </c>
      <c r="AC24" s="169"/>
      <c r="AD24" s="74"/>
      <c r="AE24" s="54" t="s">
        <v>537</v>
      </c>
      <c r="AF24" s="169"/>
      <c r="AG24" s="56"/>
      <c r="AH24" s="5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56"/>
      <c r="BA24" s="56"/>
      <c r="BB24" s="56"/>
      <c r="BC24" s="56"/>
      <c r="BD24" s="56"/>
      <c r="BE24" s="56"/>
      <c r="BF24" s="56"/>
      <c r="BG24" s="53"/>
      <c r="BH24" s="53"/>
      <c r="BI24" s="53"/>
      <c r="BJ24" s="53"/>
    </row>
    <row r="25" spans="1:62" s="56" customFormat="1" ht="41.25" customHeight="1" x14ac:dyDescent="0.25">
      <c r="A25" s="152">
        <v>6</v>
      </c>
      <c r="B25" s="152" t="s">
        <v>62</v>
      </c>
      <c r="C25" s="183" t="s">
        <v>313</v>
      </c>
      <c r="D25" s="183" t="s">
        <v>314</v>
      </c>
      <c r="E25" s="184" t="s">
        <v>50</v>
      </c>
      <c r="F25" s="185" t="s">
        <v>471</v>
      </c>
      <c r="G25" s="195">
        <v>43262</v>
      </c>
      <c r="H25" s="188" t="s">
        <v>493</v>
      </c>
      <c r="I25" s="188" t="s">
        <v>478</v>
      </c>
      <c r="J25" s="154" t="s">
        <v>494</v>
      </c>
      <c r="K25" s="164" t="s">
        <v>192</v>
      </c>
      <c r="L25" s="161" t="s">
        <v>121</v>
      </c>
      <c r="M25" s="163" t="s">
        <v>136</v>
      </c>
      <c r="N25" s="177" t="s">
        <v>62</v>
      </c>
      <c r="O25" s="198" t="s">
        <v>62</v>
      </c>
      <c r="P25" s="200">
        <v>1.63</v>
      </c>
      <c r="Q25" s="202">
        <v>1.58</v>
      </c>
      <c r="R25" s="152"/>
      <c r="S25" s="152"/>
      <c r="T25" s="152"/>
      <c r="U25" s="132" t="str">
        <f t="shared" si="0"/>
        <v/>
      </c>
      <c r="V25" s="55"/>
      <c r="W25" s="55" t="s">
        <v>62</v>
      </c>
      <c r="X25" s="58" t="s">
        <v>62</v>
      </c>
      <c r="Y25" s="226" t="str">
        <f>IF(Q25&lt;&gt;"",IF(Q25&lt;=1.2,IF(O25="A","CR",IF(V25&lt;&gt;"",IF(Parametre_2018!N$4=1,IF(LEFT(V25,1)="1",IF(V25&lt;&gt;"",IF(Parametre_2018!O$4&lt;&gt;"",IF(N25&lt;=Parametre_2018!O$4,IF(V25&lt;&gt;"",IF(Parametre_2018!P$4&lt;&gt;"",IF(O25&lt;=Parametre_2018!P$4,"PLD",""),"PLD"),""),""),IF(V25&lt;&gt;"",IF(Parametre_2018!P$4&lt;&gt;"",IF(O25&lt;=Parametre_2018!P$4,"PLD",""),"PLD"),"")),""),""),IF(V25&lt;&gt;"",IF(Parametre_2018!O$4&lt;&gt;"",IF(N25&lt;=Parametre_2018!O$4,IF(V25&lt;&gt;"",IF(Parametre_2018!P$4&lt;&gt;"",IF(O25&lt;=Parametre_2018!P$4,"PLD",""),"PLD"),""),""),IF(V25&lt;&gt;"",IF(Parametre_2018!P$4&lt;&gt;"",IF(O25&lt;=Parametre_2018!P$4,"PLD",""),"PLD"),"")),"")),"")),IF(V25&lt;&gt;"",IF(Parametre_2018!N$4=1,IF(LEFT(V25,1)="1",IF(V25&lt;&gt;"",IF(Parametre_2018!O$4&lt;&gt;"",IF(N25&lt;=Parametre_2018!O$4,IF(V25&lt;&gt;"",IF(Parametre_2018!P$4&lt;&gt;"",IF(O25&lt;=Parametre_2018!P$4,"PLD",""),"PLD"),""),""),IF(V25&lt;&gt;"",IF(Parametre_2018!P$4&lt;&gt;"",IF(O25&lt;=Parametre_2018!P$4,"PLD",""),"PLD"),"")),""),""),IF(V25&lt;&gt;"",IF(Parametre_2018!O$4&lt;&gt;"",IF(N25&lt;=Parametre_2018!O$4,IF(V25&lt;&gt;"",IF(Parametre_2018!P$4&lt;&gt;"",IF(O25&lt;=Parametre_2018!P$4,"PLD",""),"PLD"),""),""),IF(V25&lt;&gt;"",IF(Parametre_2018!P$4&lt;&gt;"",IF(O25&lt;=Parametre_2018!P$4,"PLD",""),"PLD"),"")),"")),"")),"")</f>
        <v/>
      </c>
      <c r="Z25" s="58"/>
      <c r="AA25" s="229"/>
      <c r="AB25" s="228" t="str">
        <f>IF(Q25&lt;&gt;"",IF(Q25&lt;=Parametre_2018!B$4,IF(Parametre_2018!C$4&lt;&gt;"",IF(N25&lt;=Parametre_2018!C$4,IF(Parametre_2018!D$4&lt;&gt;"",IF(O25&lt;=Parametre_2018!D$4,"MCL",IF(Parametre_2018!I$4&lt;&gt;"",IF(N25&lt;=Parametre_2018!I$4,IF(Parametre_2018!J$4&lt;&gt;"",IF(O25&lt;=Parametre_2018!J$4,"CL",""),"CL"),""),IF(Parametre_2018!J$4&lt;&gt;"",IF(O25&lt;=Parametre_2018!J$4,"CL",""),"CL"))),"MCL"),IF(Parametre_2018!I$4&lt;&gt;"",IF(N25&lt;=Parametre_2018!I$4,IF(Parametre_2018!J$4&lt;&gt;"",IF(O25&lt;=Parametre_2018!J$4,"CL",""),"CL"),""),IF(Parametre_2018!J$4&lt;&gt;"",IF(O25&lt;=Parametre_2018!J$4,"CL",""),"CL"))),IF(Parametre_2018!D$4&lt;&gt;"",IF(O25&lt;=Parametre_2018!D$4,"MCL",IF(Parametre_2018!I$4&lt;&gt;"",IF(N25&lt;=Parametre_2018!I$4,IF(Parametre_2018!J$4&lt;&gt;"",IF(O25&lt;=Parametre_2018!J$4,"CL",""),"CL"),""),IF(Parametre_2018!J$4&lt;&gt;"",IF(O25&lt;=Parametre_2018!J$4,"CL",""),"CL"))),"MCL")),IF(Q25&lt;&gt;"",IF(AND(Q25&gt;Parametre_2018!B$4,Q25&lt;=Parametre_2018!H$4),IF(Parametre_2018!I$4&lt;&gt;"",IF(N25&lt;=Parametre_2018!I$4,IF(Parametre_2018!J$4&lt;&gt;"",IF(O25&lt;=Parametre_2018!J$4,"CL",""),"CL"),""),IF(Parametre_2018!J$4&lt;&gt;"",IF(O25&lt;=Parametre_2018!J$4,"CL",""),"CL")),""),"")),"")</f>
        <v/>
      </c>
      <c r="AC25" s="89"/>
      <c r="AD25" s="74"/>
      <c r="AE25" s="77"/>
      <c r="AF25" s="54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BG25" s="53"/>
      <c r="BH25" s="53"/>
      <c r="BI25" s="53"/>
      <c r="BJ25" s="53"/>
    </row>
    <row r="26" spans="1:62" s="56" customFormat="1" ht="41.25" customHeight="1" x14ac:dyDescent="0.25">
      <c r="A26" s="152">
        <v>7</v>
      </c>
      <c r="B26" s="152" t="s">
        <v>62</v>
      </c>
      <c r="C26" s="183" t="s">
        <v>315</v>
      </c>
      <c r="D26" s="183" t="s">
        <v>316</v>
      </c>
      <c r="E26" s="184" t="s">
        <v>50</v>
      </c>
      <c r="F26" s="185" t="s">
        <v>470</v>
      </c>
      <c r="G26" s="195">
        <v>43262</v>
      </c>
      <c r="H26" s="187" t="s">
        <v>495</v>
      </c>
      <c r="I26" s="187" t="s">
        <v>496</v>
      </c>
      <c r="J26" s="193" t="s">
        <v>497</v>
      </c>
      <c r="K26" s="164" t="s">
        <v>193</v>
      </c>
      <c r="L26" s="161" t="s">
        <v>122</v>
      </c>
      <c r="M26" s="163" t="s">
        <v>158</v>
      </c>
      <c r="N26" s="177" t="s">
        <v>62</v>
      </c>
      <c r="O26" s="198" t="s">
        <v>62</v>
      </c>
      <c r="P26" s="200">
        <v>1.7</v>
      </c>
      <c r="Q26" s="202">
        <v>1.58</v>
      </c>
      <c r="R26" s="207"/>
      <c r="S26" s="152"/>
      <c r="T26" s="152"/>
      <c r="U26" s="132" t="str">
        <f t="shared" si="0"/>
        <v/>
      </c>
      <c r="V26" s="55"/>
      <c r="W26" s="55"/>
      <c r="X26" s="58"/>
      <c r="Y26" s="226" t="str">
        <f>IF(Q26&lt;&gt;"",IF(Q26&lt;=1.2,IF(O26="A","CR",IF(V26&lt;&gt;"",IF(Parametre_2018!N$4=1,IF(LEFT(V26,1)="1",IF(V26&lt;&gt;"",IF(Parametre_2018!O$4&lt;&gt;"",IF(N26&lt;=Parametre_2018!O$4,IF(V26&lt;&gt;"",IF(Parametre_2018!P$4&lt;&gt;"",IF(O26&lt;=Parametre_2018!P$4,"PLD",""),"PLD"),""),""),IF(V26&lt;&gt;"",IF(Parametre_2018!P$4&lt;&gt;"",IF(O26&lt;=Parametre_2018!P$4,"PLD",""),"PLD"),"")),""),""),IF(V26&lt;&gt;"",IF(Parametre_2018!O$4&lt;&gt;"",IF(N26&lt;=Parametre_2018!O$4,IF(V26&lt;&gt;"",IF(Parametre_2018!P$4&lt;&gt;"",IF(O26&lt;=Parametre_2018!P$4,"PLD",""),"PLD"),""),""),IF(V26&lt;&gt;"",IF(Parametre_2018!P$4&lt;&gt;"",IF(O26&lt;=Parametre_2018!P$4,"PLD",""),"PLD"),"")),"")),"")),IF(V26&lt;&gt;"",IF(Parametre_2018!N$4=1,IF(LEFT(V26,1)="1",IF(V26&lt;&gt;"",IF(Parametre_2018!O$4&lt;&gt;"",IF(N26&lt;=Parametre_2018!O$4,IF(V26&lt;&gt;"",IF(Parametre_2018!P$4&lt;&gt;"",IF(O26&lt;=Parametre_2018!P$4,"PLD",""),"PLD"),""),""),IF(V26&lt;&gt;"",IF(Parametre_2018!P$4&lt;&gt;"",IF(O26&lt;=Parametre_2018!P$4,"PLD",""),"PLD"),"")),""),""),IF(V26&lt;&gt;"",IF(Parametre_2018!O$4&lt;&gt;"",IF(N26&lt;=Parametre_2018!O$4,IF(V26&lt;&gt;"",IF(Parametre_2018!P$4&lt;&gt;"",IF(O26&lt;=Parametre_2018!P$4,"PLD",""),"PLD"),""),""),IF(V26&lt;&gt;"",IF(Parametre_2018!P$4&lt;&gt;"",IF(O26&lt;=Parametre_2018!P$4,"PLD",""),"PLD"),"")),"")),"")),"")</f>
        <v/>
      </c>
      <c r="Z26" s="58"/>
      <c r="AA26" s="227"/>
      <c r="AB26" s="228" t="str">
        <f>IF(Q26&lt;&gt;"",IF(Q26&lt;=Parametre_2018!B$4,IF(Parametre_2018!C$4&lt;&gt;"",IF(N26&lt;=Parametre_2018!C$4,IF(Parametre_2018!D$4&lt;&gt;"",IF(O26&lt;=Parametre_2018!D$4,"MCL",IF(Parametre_2018!I$4&lt;&gt;"",IF(N26&lt;=Parametre_2018!I$4,IF(Parametre_2018!J$4&lt;&gt;"",IF(O26&lt;=Parametre_2018!J$4,"CL",""),"CL"),""),IF(Parametre_2018!J$4&lt;&gt;"",IF(O26&lt;=Parametre_2018!J$4,"CL",""),"CL"))),"MCL"),IF(Parametre_2018!I$4&lt;&gt;"",IF(N26&lt;=Parametre_2018!I$4,IF(Parametre_2018!J$4&lt;&gt;"",IF(O26&lt;=Parametre_2018!J$4,"CL",""),"CL"),""),IF(Parametre_2018!J$4&lt;&gt;"",IF(O26&lt;=Parametre_2018!J$4,"CL",""),"CL"))),IF(Parametre_2018!D$4&lt;&gt;"",IF(O26&lt;=Parametre_2018!D$4,"MCL",IF(Parametre_2018!I$4&lt;&gt;"",IF(N26&lt;=Parametre_2018!I$4,IF(Parametre_2018!J$4&lt;&gt;"",IF(O26&lt;=Parametre_2018!J$4,"CL",""),"CL"),""),IF(Parametre_2018!J$4&lt;&gt;"",IF(O26&lt;=Parametre_2018!J$4,"CL",""),"CL"))),"MCL")),IF(Q26&lt;&gt;"",IF(AND(Q26&gt;Parametre_2018!B$4,Q26&lt;=Parametre_2018!H$4),IF(Parametre_2018!I$4&lt;&gt;"",IF(N26&lt;=Parametre_2018!I$4,IF(Parametre_2018!J$4&lt;&gt;"",IF(O26&lt;=Parametre_2018!J$4,"CL",""),"CL"),""),IF(Parametre_2018!J$4&lt;&gt;"",IF(O26&lt;=Parametre_2018!J$4,"CL",""),"CL")),""),"")),"")</f>
        <v/>
      </c>
      <c r="AC26" s="89"/>
      <c r="AD26" s="74"/>
      <c r="AE26" s="77"/>
      <c r="AF26" s="54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BG26" s="53"/>
      <c r="BH26" s="53"/>
      <c r="BI26" s="53"/>
      <c r="BJ26" s="53"/>
    </row>
    <row r="27" spans="1:62" s="56" customFormat="1" ht="41.25" customHeight="1" x14ac:dyDescent="0.25">
      <c r="A27" s="152">
        <v>35</v>
      </c>
      <c r="B27" s="152" t="s">
        <v>62</v>
      </c>
      <c r="C27" s="183" t="s">
        <v>362</v>
      </c>
      <c r="D27" s="183" t="s">
        <v>363</v>
      </c>
      <c r="E27" s="184" t="s">
        <v>50</v>
      </c>
      <c r="F27" s="185" t="s">
        <v>470</v>
      </c>
      <c r="G27" s="195">
        <v>43262</v>
      </c>
      <c r="H27" s="192" t="s">
        <v>502</v>
      </c>
      <c r="I27" s="192" t="s">
        <v>485</v>
      </c>
      <c r="J27" s="194" t="s">
        <v>503</v>
      </c>
      <c r="K27" s="164" t="s">
        <v>221</v>
      </c>
      <c r="L27" s="161" t="s">
        <v>141</v>
      </c>
      <c r="M27" s="163" t="s">
        <v>181</v>
      </c>
      <c r="N27" s="179" t="s">
        <v>62</v>
      </c>
      <c r="O27" s="198" t="s">
        <v>62</v>
      </c>
      <c r="P27" s="200">
        <v>1.72</v>
      </c>
      <c r="Q27" s="202">
        <v>1.58</v>
      </c>
      <c r="R27" s="60"/>
      <c r="S27" s="60"/>
      <c r="T27" s="58"/>
      <c r="U27" s="132" t="str">
        <f t="shared" si="0"/>
        <v>Navrh</v>
      </c>
      <c r="V27" s="55">
        <v>1</v>
      </c>
      <c r="W27" s="55"/>
      <c r="X27" s="54"/>
      <c r="Y27" s="226" t="str">
        <f>IF(Q27&lt;&gt;"",IF(Q27&lt;=1.2,IF(O27="A","CR",IF(V27&lt;&gt;"",IF(Parametre_2018!N$4=1,IF(LEFT(V27,1)="1",IF(V27&lt;&gt;"",IF(Parametre_2018!O$4&lt;&gt;"",IF(N27&lt;=Parametre_2018!O$4,IF(V27&lt;&gt;"",IF(Parametre_2018!P$4&lt;&gt;"",IF(O27&lt;=Parametre_2018!P$4,"PLD",""),"PLD"),""),""),IF(V27&lt;&gt;"",IF(Parametre_2018!P$4&lt;&gt;"",IF(O27&lt;=Parametre_2018!P$4,"PLD",""),"PLD"),"")),""),""),IF(V27&lt;&gt;"",IF(Parametre_2018!O$4&lt;&gt;"",IF(N27&lt;=Parametre_2018!O$4,IF(V27&lt;&gt;"",IF(Parametre_2018!P$4&lt;&gt;"",IF(O27&lt;=Parametre_2018!P$4,"PLD",""),"PLD"),""),""),IF(V27&lt;&gt;"",IF(Parametre_2018!P$4&lt;&gt;"",IF(O27&lt;=Parametre_2018!P$4,"PLD",""),"PLD"),"")),"")),"")),IF(V27&lt;&gt;"",IF(Parametre_2018!N$4=1,IF(LEFT(V27,1)="1",IF(V27&lt;&gt;"",IF(Parametre_2018!O$4&lt;&gt;"",IF(N27&lt;=Parametre_2018!O$4,IF(V27&lt;&gt;"",IF(Parametre_2018!P$4&lt;&gt;"",IF(O27&lt;=Parametre_2018!P$4,"PLD",""),"PLD"),""),""),IF(V27&lt;&gt;"",IF(Parametre_2018!P$4&lt;&gt;"",IF(O27&lt;=Parametre_2018!P$4,"PLD",""),"PLD"),"")),""),""),IF(V27&lt;&gt;"",IF(Parametre_2018!O$4&lt;&gt;"",IF(N27&lt;=Parametre_2018!O$4,IF(V27&lt;&gt;"",IF(Parametre_2018!P$4&lt;&gt;"",IF(O27&lt;=Parametre_2018!P$4,"PLD",""),"PLD"),""),""),IF(V27&lt;&gt;"",IF(Parametre_2018!P$4&lt;&gt;"",IF(O27&lt;=Parametre_2018!P$4,"PLD",""),"PLD"),"")),"")),"")),"")</f>
        <v>PLD</v>
      </c>
      <c r="Z27" s="58" t="s">
        <v>15</v>
      </c>
      <c r="AA27" s="227" t="s">
        <v>15</v>
      </c>
      <c r="AB27" s="228" t="str">
        <f>IF(Q27&lt;&gt;"",IF(Q27&lt;=Parametre_2018!B$4,IF(Parametre_2018!C$4&lt;&gt;"",IF(N27&lt;=Parametre_2018!C$4,IF(Parametre_2018!D$4&lt;&gt;"",IF(O27&lt;=Parametre_2018!D$4,"MCL",IF(Parametre_2018!I$4&lt;&gt;"",IF(N27&lt;=Parametre_2018!I$4,IF(Parametre_2018!J$4&lt;&gt;"",IF(O27&lt;=Parametre_2018!J$4,"CL",""),"CL"),""),IF(Parametre_2018!J$4&lt;&gt;"",IF(O27&lt;=Parametre_2018!J$4,"CL",""),"CL"))),"MCL"),IF(Parametre_2018!I$4&lt;&gt;"",IF(N27&lt;=Parametre_2018!I$4,IF(Parametre_2018!J$4&lt;&gt;"",IF(O27&lt;=Parametre_2018!J$4,"CL",""),"CL"),""),IF(Parametre_2018!J$4&lt;&gt;"",IF(O27&lt;=Parametre_2018!J$4,"CL",""),"CL"))),IF(Parametre_2018!D$4&lt;&gt;"",IF(O27&lt;=Parametre_2018!D$4,"MCL",IF(Parametre_2018!I$4&lt;&gt;"",IF(N27&lt;=Parametre_2018!I$4,IF(Parametre_2018!J$4&lt;&gt;"",IF(O27&lt;=Parametre_2018!J$4,"CL",""),"CL"),""),IF(Parametre_2018!J$4&lt;&gt;"",IF(O27&lt;=Parametre_2018!J$4,"CL",""),"CL"))),"MCL")),IF(Q27&lt;&gt;"",IF(AND(Q27&gt;Parametre_2018!B$4,Q27&lt;=Parametre_2018!H$4),IF(Parametre_2018!I$4&lt;&gt;"",IF(N27&lt;=Parametre_2018!I$4,IF(Parametre_2018!J$4&lt;&gt;"",IF(O27&lt;=Parametre_2018!J$4,"CL",""),"CL"),""),IF(Parametre_2018!J$4&lt;&gt;"",IF(O27&lt;=Parametre_2018!J$4,"CL",""),"CL")),""),"")),"")</f>
        <v/>
      </c>
      <c r="AC27" s="89"/>
      <c r="AD27" s="74"/>
      <c r="AE27" s="54"/>
      <c r="AF27" s="54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57"/>
      <c r="BA27" s="57"/>
      <c r="BB27" s="57"/>
      <c r="BC27" s="57"/>
      <c r="BD27" s="57"/>
      <c r="BE27" s="57"/>
      <c r="BF27" s="57"/>
    </row>
    <row r="28" spans="1:62" s="56" customFormat="1" ht="41.25" customHeight="1" x14ac:dyDescent="0.25">
      <c r="A28" s="152">
        <v>95</v>
      </c>
      <c r="B28" s="152" t="s">
        <v>62</v>
      </c>
      <c r="C28" s="183" t="s">
        <v>444</v>
      </c>
      <c r="D28" s="183" t="s">
        <v>318</v>
      </c>
      <c r="E28" s="184" t="s">
        <v>50</v>
      </c>
      <c r="F28" s="185" t="s">
        <v>471</v>
      </c>
      <c r="G28" s="186">
        <v>43263</v>
      </c>
      <c r="H28" s="192" t="s">
        <v>474</v>
      </c>
      <c r="I28" s="192" t="s">
        <v>44</v>
      </c>
      <c r="J28" s="172" t="s">
        <v>53</v>
      </c>
      <c r="K28" s="164" t="s">
        <v>281</v>
      </c>
      <c r="L28" s="161" t="s">
        <v>120</v>
      </c>
      <c r="M28" s="163" t="s">
        <v>149</v>
      </c>
      <c r="N28" s="178" t="s">
        <v>62</v>
      </c>
      <c r="O28" s="198" t="s">
        <v>62</v>
      </c>
      <c r="P28" s="200">
        <v>1.68</v>
      </c>
      <c r="Q28" s="202">
        <v>1.58</v>
      </c>
      <c r="R28" s="214" t="s">
        <v>95</v>
      </c>
      <c r="S28" s="174"/>
      <c r="T28" s="174"/>
      <c r="U28" s="132" t="str">
        <f t="shared" si="0"/>
        <v>Navrh</v>
      </c>
      <c r="V28" s="204" t="s">
        <v>529</v>
      </c>
      <c r="W28" s="152"/>
      <c r="X28" s="155"/>
      <c r="Y28" s="226" t="str">
        <f>IF(Q28&lt;&gt;"",IF(Q28&lt;=1.2,IF(O28="A","CR",IF(V28&lt;&gt;"",IF(Parametre_2018!N$4=1,IF(LEFT(V28,1)="1",IF(V28&lt;&gt;"",IF(Parametre_2018!O$4&lt;&gt;"",IF(N28&lt;=Parametre_2018!O$4,IF(V28&lt;&gt;"",IF(Parametre_2018!P$4&lt;&gt;"",IF(O28&lt;=Parametre_2018!P$4,"PLD",""),"PLD"),""),""),IF(V28&lt;&gt;"",IF(Parametre_2018!P$4&lt;&gt;"",IF(O28&lt;=Parametre_2018!P$4,"PLD",""),"PLD"),"")),""),""),IF(V28&lt;&gt;"",IF(Parametre_2018!O$4&lt;&gt;"",IF(N28&lt;=Parametre_2018!O$4,IF(V28&lt;&gt;"",IF(Parametre_2018!P$4&lt;&gt;"",IF(O28&lt;=Parametre_2018!P$4,"PLD",""),"PLD"),""),""),IF(V28&lt;&gt;"",IF(Parametre_2018!P$4&lt;&gt;"",IF(O28&lt;=Parametre_2018!P$4,"PLD",""),"PLD"),"")),"")),"")),IF(V28&lt;&gt;"",IF(Parametre_2018!N$4=1,IF(LEFT(V28,1)="1",IF(V28&lt;&gt;"",IF(Parametre_2018!O$4&lt;&gt;"",IF(N28&lt;=Parametre_2018!O$4,IF(V28&lt;&gt;"",IF(Parametre_2018!P$4&lt;&gt;"",IF(O28&lt;=Parametre_2018!P$4,"PLD",""),"PLD"),""),""),IF(V28&lt;&gt;"",IF(Parametre_2018!P$4&lt;&gt;"",IF(O28&lt;=Parametre_2018!P$4,"PLD",""),"PLD"),"")),""),""),IF(V28&lt;&gt;"",IF(Parametre_2018!O$4&lt;&gt;"",IF(N28&lt;=Parametre_2018!O$4,IF(V28&lt;&gt;"",IF(Parametre_2018!P$4&lt;&gt;"",IF(O28&lt;=Parametre_2018!P$4,"PLD",""),"PLD"),""),""),IF(V28&lt;&gt;"",IF(Parametre_2018!P$4&lt;&gt;"",IF(O28&lt;=Parametre_2018!P$4,"PLD",""),"PLD"),"")),"")),"")),"")</f>
        <v>PLD</v>
      </c>
      <c r="Z28" s="58" t="s">
        <v>15</v>
      </c>
      <c r="AA28" s="227" t="s">
        <v>15</v>
      </c>
      <c r="AB28" s="228" t="str">
        <f>IF(Q28&lt;&gt;"",IF(Q28&lt;=Parametre_2018!B$4,IF(Parametre_2018!C$4&lt;&gt;"",IF(N28&lt;=Parametre_2018!C$4,IF(Parametre_2018!D$4&lt;&gt;"",IF(O28&lt;=Parametre_2018!D$4,"MCL",IF(Parametre_2018!I$4&lt;&gt;"",IF(N28&lt;=Parametre_2018!I$4,IF(Parametre_2018!J$4&lt;&gt;"",IF(O28&lt;=Parametre_2018!J$4,"CL",""),"CL"),""),IF(Parametre_2018!J$4&lt;&gt;"",IF(O28&lt;=Parametre_2018!J$4,"CL",""),"CL"))),"MCL"),IF(Parametre_2018!I$4&lt;&gt;"",IF(N28&lt;=Parametre_2018!I$4,IF(Parametre_2018!J$4&lt;&gt;"",IF(O28&lt;=Parametre_2018!J$4,"CL",""),"CL"),""),IF(Parametre_2018!J$4&lt;&gt;"",IF(O28&lt;=Parametre_2018!J$4,"CL",""),"CL"))),IF(Parametre_2018!D$4&lt;&gt;"",IF(O28&lt;=Parametre_2018!D$4,"MCL",IF(Parametre_2018!I$4&lt;&gt;"",IF(N28&lt;=Parametre_2018!I$4,IF(Parametre_2018!J$4&lt;&gt;"",IF(O28&lt;=Parametre_2018!J$4,"CL",""),"CL"),""),IF(Parametre_2018!J$4&lt;&gt;"",IF(O28&lt;=Parametre_2018!J$4,"CL",""),"CL"))),"MCL")),IF(Q28&lt;&gt;"",IF(AND(Q28&gt;Parametre_2018!B$4,Q28&lt;=Parametre_2018!H$4),IF(Parametre_2018!I$4&lt;&gt;"",IF(N28&lt;=Parametre_2018!I$4,IF(Parametre_2018!J$4&lt;&gt;"",IF(O28&lt;=Parametre_2018!J$4,"CL",""),"CL"),""),IF(Parametre_2018!J$4&lt;&gt;"",IF(O28&lt;=Parametre_2018!J$4,"CL",""),"CL")),""),"")),"")</f>
        <v/>
      </c>
      <c r="AC28" s="155"/>
      <c r="AD28" s="74"/>
      <c r="AE28" s="155"/>
      <c r="AF28" s="175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</row>
    <row r="29" spans="1:62" s="56" customFormat="1" ht="41.25" customHeight="1" x14ac:dyDescent="0.25">
      <c r="A29" s="152">
        <v>117</v>
      </c>
      <c r="B29" s="152" t="s">
        <v>62</v>
      </c>
      <c r="C29" s="183" t="s">
        <v>468</v>
      </c>
      <c r="D29" s="183" t="s">
        <v>318</v>
      </c>
      <c r="E29" s="184" t="s">
        <v>50</v>
      </c>
      <c r="F29" s="185" t="s">
        <v>470</v>
      </c>
      <c r="G29" s="195">
        <v>43262</v>
      </c>
      <c r="H29" s="187" t="s">
        <v>495</v>
      </c>
      <c r="I29" s="192" t="s">
        <v>496</v>
      </c>
      <c r="J29" s="194" t="s">
        <v>497</v>
      </c>
      <c r="K29" s="164" t="s">
        <v>303</v>
      </c>
      <c r="L29" s="161" t="s">
        <v>151</v>
      </c>
      <c r="M29" s="163" t="s">
        <v>158</v>
      </c>
      <c r="N29" s="178" t="s">
        <v>62</v>
      </c>
      <c r="O29" s="198" t="s">
        <v>62</v>
      </c>
      <c r="P29" s="200">
        <v>1.7</v>
      </c>
      <c r="Q29" s="202">
        <v>1.59</v>
      </c>
      <c r="R29" s="213"/>
      <c r="S29" s="222" t="s">
        <v>62</v>
      </c>
      <c r="T29" s="174"/>
      <c r="U29" s="132" t="str">
        <f t="shared" si="0"/>
        <v>Navrh</v>
      </c>
      <c r="V29" s="152">
        <v>2</v>
      </c>
      <c r="W29" s="152"/>
      <c r="X29" s="204" t="s">
        <v>62</v>
      </c>
      <c r="Y29" s="226" t="str">
        <f>IF(Q29&lt;&gt;"",IF(Q29&lt;=1.2,IF(O29="A","CR",IF(V29&lt;&gt;"",IF(Parametre_2018!N$4=1,IF(LEFT(V29,1)="1",IF(V29&lt;&gt;"",IF(Parametre_2018!O$4&lt;&gt;"",IF(N29&lt;=Parametre_2018!O$4,IF(V29&lt;&gt;"",IF(Parametre_2018!P$4&lt;&gt;"",IF(O29&lt;=Parametre_2018!P$4,"PLD",""),"PLD"),""),""),IF(V29&lt;&gt;"",IF(Parametre_2018!P$4&lt;&gt;"",IF(O29&lt;=Parametre_2018!P$4,"PLD",""),"PLD"),"")),""),""),IF(V29&lt;&gt;"",IF(Parametre_2018!O$4&lt;&gt;"",IF(N29&lt;=Parametre_2018!O$4,IF(V29&lt;&gt;"",IF(Parametre_2018!P$4&lt;&gt;"",IF(O29&lt;=Parametre_2018!P$4,"PLD",""),"PLD"),""),""),IF(V29&lt;&gt;"",IF(Parametre_2018!P$4&lt;&gt;"",IF(O29&lt;=Parametre_2018!P$4,"PLD",""),"PLD"),"")),"")),"")),IF(V29&lt;&gt;"",IF(Parametre_2018!N$4=1,IF(LEFT(V29,1)="1",IF(V29&lt;&gt;"",IF(Parametre_2018!O$4&lt;&gt;"",IF(N29&lt;=Parametre_2018!O$4,IF(V29&lt;&gt;"",IF(Parametre_2018!P$4&lt;&gt;"",IF(O29&lt;=Parametre_2018!P$4,"PLD",""),"PLD"),""),""),IF(V29&lt;&gt;"",IF(Parametre_2018!P$4&lt;&gt;"",IF(O29&lt;=Parametre_2018!P$4,"PLD",""),"PLD"),"")),""),""),IF(V29&lt;&gt;"",IF(Parametre_2018!O$4&lt;&gt;"",IF(N29&lt;=Parametre_2018!O$4,IF(V29&lt;&gt;"",IF(Parametre_2018!P$4&lt;&gt;"",IF(O29&lt;=Parametre_2018!P$4,"PLD",""),"PLD"),""),""),IF(V29&lt;&gt;"",IF(Parametre_2018!P$4&lt;&gt;"",IF(O29&lt;=Parametre_2018!P$4,"PLD",""),"PLD"),"")),"")),"")),"")</f>
        <v>PLD</v>
      </c>
      <c r="Z29" s="58" t="s">
        <v>15</v>
      </c>
      <c r="AA29" s="227" t="s">
        <v>15</v>
      </c>
      <c r="AB29" s="228" t="str">
        <f>IF(Q29&lt;&gt;"",IF(Q29&lt;=Parametre_2018!B$4,IF(Parametre_2018!C$4&lt;&gt;"",IF(N29&lt;=Parametre_2018!C$4,IF(Parametre_2018!D$4&lt;&gt;"",IF(O29&lt;=Parametre_2018!D$4,"MCL",IF(Parametre_2018!I$4&lt;&gt;"",IF(N29&lt;=Parametre_2018!I$4,IF(Parametre_2018!J$4&lt;&gt;"",IF(O29&lt;=Parametre_2018!J$4,"CL",""),"CL"),""),IF(Parametre_2018!J$4&lt;&gt;"",IF(O29&lt;=Parametre_2018!J$4,"CL",""),"CL"))),"MCL"),IF(Parametre_2018!I$4&lt;&gt;"",IF(N29&lt;=Parametre_2018!I$4,IF(Parametre_2018!J$4&lt;&gt;"",IF(O29&lt;=Parametre_2018!J$4,"CL",""),"CL"),""),IF(Parametre_2018!J$4&lt;&gt;"",IF(O29&lt;=Parametre_2018!J$4,"CL",""),"CL"))),IF(Parametre_2018!D$4&lt;&gt;"",IF(O29&lt;=Parametre_2018!D$4,"MCL",IF(Parametre_2018!I$4&lt;&gt;"",IF(N29&lt;=Parametre_2018!I$4,IF(Parametre_2018!J$4&lt;&gt;"",IF(O29&lt;=Parametre_2018!J$4,"CL",""),"CL"),""),IF(Parametre_2018!J$4&lt;&gt;"",IF(O29&lt;=Parametre_2018!J$4,"CL",""),"CL"))),"MCL")),IF(Q29&lt;&gt;"",IF(AND(Q29&gt;Parametre_2018!B$4,Q29&lt;=Parametre_2018!H$4),IF(Parametre_2018!I$4&lt;&gt;"",IF(N29&lt;=Parametre_2018!I$4,IF(Parametre_2018!J$4&lt;&gt;"",IF(O29&lt;=Parametre_2018!J$4,"CL",""),"CL"),""),IF(Parametre_2018!J$4&lt;&gt;"",IF(O29&lt;=Parametre_2018!J$4,"CL",""),"CL")),""),"")),"")</f>
        <v/>
      </c>
      <c r="AC29" s="155"/>
      <c r="AD29" s="74"/>
      <c r="AE29" s="155"/>
      <c r="AF29" s="175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BG29" s="61"/>
      <c r="BH29" s="61"/>
      <c r="BI29" s="61"/>
      <c r="BJ29" s="61"/>
    </row>
    <row r="30" spans="1:62" s="56" customFormat="1" ht="41.25" customHeight="1" x14ac:dyDescent="0.25">
      <c r="A30" s="152">
        <v>109</v>
      </c>
      <c r="B30" s="152" t="s">
        <v>62</v>
      </c>
      <c r="C30" s="183" t="s">
        <v>460</v>
      </c>
      <c r="D30" s="183" t="s">
        <v>456</v>
      </c>
      <c r="E30" s="184" t="s">
        <v>50</v>
      </c>
      <c r="F30" s="185" t="s">
        <v>470</v>
      </c>
      <c r="G30" s="195">
        <v>43262</v>
      </c>
      <c r="H30" s="192" t="s">
        <v>498</v>
      </c>
      <c r="I30" s="234" t="s">
        <v>480</v>
      </c>
      <c r="J30" s="172" t="s">
        <v>499</v>
      </c>
      <c r="K30" s="164" t="s">
        <v>295</v>
      </c>
      <c r="L30" s="161" t="s">
        <v>134</v>
      </c>
      <c r="M30" s="163" t="s">
        <v>178</v>
      </c>
      <c r="N30" s="178" t="s">
        <v>62</v>
      </c>
      <c r="O30" s="198" t="s">
        <v>59</v>
      </c>
      <c r="P30" s="200">
        <v>1.52</v>
      </c>
      <c r="Q30" s="202">
        <v>1.6</v>
      </c>
      <c r="R30" s="213"/>
      <c r="S30" s="174"/>
      <c r="T30" s="174"/>
      <c r="U30" s="132" t="str">
        <f t="shared" si="0"/>
        <v/>
      </c>
      <c r="V30" s="152"/>
      <c r="W30" s="152"/>
      <c r="X30" s="155"/>
      <c r="Y30" s="226" t="str">
        <f>IF(Q30&lt;&gt;"",IF(Q30&lt;=1.2,IF(O30="A","CR",IF(V30&lt;&gt;"",IF(Parametre_2018!N$4=1,IF(LEFT(V30,1)="1",IF(V30&lt;&gt;"",IF(Parametre_2018!O$4&lt;&gt;"",IF(N30&lt;=Parametre_2018!O$4,IF(V30&lt;&gt;"",IF(Parametre_2018!P$4&lt;&gt;"",IF(O30&lt;=Parametre_2018!P$4,"PLD",""),"PLD"),""),""),IF(V30&lt;&gt;"",IF(Parametre_2018!P$4&lt;&gt;"",IF(O30&lt;=Parametre_2018!P$4,"PLD",""),"PLD"),"")),""),""),IF(V30&lt;&gt;"",IF(Parametre_2018!O$4&lt;&gt;"",IF(N30&lt;=Parametre_2018!O$4,IF(V30&lt;&gt;"",IF(Parametre_2018!P$4&lt;&gt;"",IF(O30&lt;=Parametre_2018!P$4,"PLD",""),"PLD"),""),""),IF(V30&lt;&gt;"",IF(Parametre_2018!P$4&lt;&gt;"",IF(O30&lt;=Parametre_2018!P$4,"PLD",""),"PLD"),"")),"")),"")),IF(V30&lt;&gt;"",IF(Parametre_2018!N$4=1,IF(LEFT(V30,1)="1",IF(V30&lt;&gt;"",IF(Parametre_2018!O$4&lt;&gt;"",IF(N30&lt;=Parametre_2018!O$4,IF(V30&lt;&gt;"",IF(Parametre_2018!P$4&lt;&gt;"",IF(O30&lt;=Parametre_2018!P$4,"PLD",""),"PLD"),""),""),IF(V30&lt;&gt;"",IF(Parametre_2018!P$4&lt;&gt;"",IF(O30&lt;=Parametre_2018!P$4,"PLD",""),"PLD"),"")),""),""),IF(V30&lt;&gt;"",IF(Parametre_2018!O$4&lt;&gt;"",IF(N30&lt;=Parametre_2018!O$4,IF(V30&lt;&gt;"",IF(Parametre_2018!P$4&lt;&gt;"",IF(O30&lt;=Parametre_2018!P$4,"PLD",""),"PLD"),""),""),IF(V30&lt;&gt;"",IF(Parametre_2018!P$4&lt;&gt;"",IF(O30&lt;=Parametre_2018!P$4,"PLD",""),"PLD"),"")),"")),"")),"")</f>
        <v/>
      </c>
      <c r="Z30" s="152"/>
      <c r="AA30" s="227"/>
      <c r="AB30" s="228" t="str">
        <f>IF(Q30&lt;&gt;"",IF(Q30&lt;=Parametre_2018!B$4,IF(Parametre_2018!C$4&lt;&gt;"",IF(N30&lt;=Parametre_2018!C$4,IF(Parametre_2018!D$4&lt;&gt;"",IF(O30&lt;=Parametre_2018!D$4,"MCL",IF(Parametre_2018!I$4&lt;&gt;"",IF(N30&lt;=Parametre_2018!I$4,IF(Parametre_2018!J$4&lt;&gt;"",IF(O30&lt;=Parametre_2018!J$4,"CL",""),"CL"),""),IF(Parametre_2018!J$4&lt;&gt;"",IF(O30&lt;=Parametre_2018!J$4,"CL",""),"CL"))),"MCL"),IF(Parametre_2018!I$4&lt;&gt;"",IF(N30&lt;=Parametre_2018!I$4,IF(Parametre_2018!J$4&lt;&gt;"",IF(O30&lt;=Parametre_2018!J$4,"CL",""),"CL"),""),IF(Parametre_2018!J$4&lt;&gt;"",IF(O30&lt;=Parametre_2018!J$4,"CL",""),"CL"))),IF(Parametre_2018!D$4&lt;&gt;"",IF(O30&lt;=Parametre_2018!D$4,"MCL",IF(Parametre_2018!I$4&lt;&gt;"",IF(N30&lt;=Parametre_2018!I$4,IF(Parametre_2018!J$4&lt;&gt;"",IF(O30&lt;=Parametre_2018!J$4,"CL",""),"CL"),""),IF(Parametre_2018!J$4&lt;&gt;"",IF(O30&lt;=Parametre_2018!J$4,"CL",""),"CL"))),"MCL")),IF(Q30&lt;&gt;"",IF(AND(Q30&gt;Parametre_2018!B$4,Q30&lt;=Parametre_2018!H$4),IF(Parametre_2018!I$4&lt;&gt;"",IF(N30&lt;=Parametre_2018!I$4,IF(Parametre_2018!J$4&lt;&gt;"",IF(O30&lt;=Parametre_2018!J$4,"CL",""),"CL"),""),IF(Parametre_2018!J$4&lt;&gt;"",IF(O30&lt;=Parametre_2018!J$4,"CL",""),"CL")),""),"")),"")</f>
        <v/>
      </c>
      <c r="AC30" s="155"/>
      <c r="AD30" s="74"/>
      <c r="AE30" s="155"/>
      <c r="AF30" s="175"/>
      <c r="AG30" s="61"/>
      <c r="AH30" s="61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</row>
    <row r="31" spans="1:62" s="65" customFormat="1" ht="41.25" customHeight="1" x14ac:dyDescent="0.25">
      <c r="A31" s="152">
        <v>48</v>
      </c>
      <c r="B31" s="152" t="s">
        <v>62</v>
      </c>
      <c r="C31" s="183" t="s">
        <v>381</v>
      </c>
      <c r="D31" s="183" t="s">
        <v>314</v>
      </c>
      <c r="E31" s="184" t="s">
        <v>50</v>
      </c>
      <c r="F31" s="185" t="s">
        <v>470</v>
      </c>
      <c r="G31" s="195">
        <v>43262</v>
      </c>
      <c r="H31" s="187" t="s">
        <v>495</v>
      </c>
      <c r="I31" s="192" t="s">
        <v>496</v>
      </c>
      <c r="J31" s="194" t="s">
        <v>497</v>
      </c>
      <c r="K31" s="164" t="s">
        <v>234</v>
      </c>
      <c r="L31" s="161" t="s">
        <v>147</v>
      </c>
      <c r="M31" s="163" t="s">
        <v>132</v>
      </c>
      <c r="N31" s="181" t="s">
        <v>59</v>
      </c>
      <c r="O31" s="198" t="s">
        <v>60</v>
      </c>
      <c r="P31" s="200">
        <v>1.62</v>
      </c>
      <c r="Q31" s="202">
        <v>1.62</v>
      </c>
      <c r="R31" s="209"/>
      <c r="S31" s="169"/>
      <c r="T31" s="169"/>
      <c r="U31" s="132" t="str">
        <f t="shared" si="0"/>
        <v/>
      </c>
      <c r="V31" s="220"/>
      <c r="W31" s="220"/>
      <c r="X31" s="169"/>
      <c r="Y31" s="226" t="str">
        <f>IF(Q31&lt;&gt;"",IF(Q31&lt;=1.2,IF(O31="A","CR",IF(V31&lt;&gt;"",IF(Parametre_2018!N$4=1,IF(LEFT(V31,1)="1",IF(V31&lt;&gt;"",IF(Parametre_2018!O$4&lt;&gt;"",IF(N31&lt;=Parametre_2018!O$4,IF(V31&lt;&gt;"",IF(Parametre_2018!P$4&lt;&gt;"",IF(O31&lt;=Parametre_2018!P$4,"PLD",""),"PLD"),""),""),IF(V31&lt;&gt;"",IF(Parametre_2018!P$4&lt;&gt;"",IF(O31&lt;=Parametre_2018!P$4,"PLD",""),"PLD"),"")),""),""),IF(V31&lt;&gt;"",IF(Parametre_2018!O$4&lt;&gt;"",IF(N31&lt;=Parametre_2018!O$4,IF(V31&lt;&gt;"",IF(Parametre_2018!P$4&lt;&gt;"",IF(O31&lt;=Parametre_2018!P$4,"PLD",""),"PLD"),""),""),IF(V31&lt;&gt;"",IF(Parametre_2018!P$4&lt;&gt;"",IF(O31&lt;=Parametre_2018!P$4,"PLD",""),"PLD"),"")),"")),"")),IF(V31&lt;&gt;"",IF(Parametre_2018!N$4=1,IF(LEFT(V31,1)="1",IF(V31&lt;&gt;"",IF(Parametre_2018!O$4&lt;&gt;"",IF(N31&lt;=Parametre_2018!O$4,IF(V31&lt;&gt;"",IF(Parametre_2018!P$4&lt;&gt;"",IF(O31&lt;=Parametre_2018!P$4,"PLD",""),"PLD"),""),""),IF(V31&lt;&gt;"",IF(Parametre_2018!P$4&lt;&gt;"",IF(O31&lt;=Parametre_2018!P$4,"PLD",""),"PLD"),"")),""),""),IF(V31&lt;&gt;"",IF(Parametre_2018!O$4&lt;&gt;"",IF(N31&lt;=Parametre_2018!O$4,IF(V31&lt;&gt;"",IF(Parametre_2018!P$4&lt;&gt;"",IF(O31&lt;=Parametre_2018!P$4,"PLD",""),"PLD"),""),""),IF(V31&lt;&gt;"",IF(Parametre_2018!P$4&lt;&gt;"",IF(O31&lt;=Parametre_2018!P$4,"PLD",""),"PLD"),"")),"")),"")),"")</f>
        <v/>
      </c>
      <c r="Z31" s="220"/>
      <c r="AA31" s="227"/>
      <c r="AB31" s="228" t="str">
        <f>IF(Q31&lt;&gt;"",IF(Q31&lt;=Parametre_2018!B$4,IF(Parametre_2018!C$4&lt;&gt;"",IF(N31&lt;=Parametre_2018!C$4,IF(Parametre_2018!D$4&lt;&gt;"",IF(O31&lt;=Parametre_2018!D$4,"MCL",IF(Parametre_2018!I$4&lt;&gt;"",IF(N31&lt;=Parametre_2018!I$4,IF(Parametre_2018!J$4&lt;&gt;"",IF(O31&lt;=Parametre_2018!J$4,"CL",""),"CL"),""),IF(Parametre_2018!J$4&lt;&gt;"",IF(O31&lt;=Parametre_2018!J$4,"CL",""),"CL"))),"MCL"),IF(Parametre_2018!I$4&lt;&gt;"",IF(N31&lt;=Parametre_2018!I$4,IF(Parametre_2018!J$4&lt;&gt;"",IF(O31&lt;=Parametre_2018!J$4,"CL",""),"CL"),""),IF(Parametre_2018!J$4&lt;&gt;"",IF(O31&lt;=Parametre_2018!J$4,"CL",""),"CL"))),IF(Parametre_2018!D$4&lt;&gt;"",IF(O31&lt;=Parametre_2018!D$4,"MCL",IF(Parametre_2018!I$4&lt;&gt;"",IF(N31&lt;=Parametre_2018!I$4,IF(Parametre_2018!J$4&lt;&gt;"",IF(O31&lt;=Parametre_2018!J$4,"CL",""),"CL"),""),IF(Parametre_2018!J$4&lt;&gt;"",IF(O31&lt;=Parametre_2018!J$4,"CL",""),"CL"))),"MCL")),IF(Q31&lt;&gt;"",IF(AND(Q31&gt;Parametre_2018!B$4,Q31&lt;=Parametre_2018!H$4),IF(Parametre_2018!I$4&lt;&gt;"",IF(N31&lt;=Parametre_2018!I$4,IF(Parametre_2018!J$4&lt;&gt;"",IF(O31&lt;=Parametre_2018!J$4,"CL",""),"CL"),""),IF(Parametre_2018!J$4&lt;&gt;"",IF(O31&lt;=Parametre_2018!J$4,"CL",""),"CL")),""),"")),"")</f>
        <v/>
      </c>
      <c r="AC31" s="169"/>
      <c r="AD31" s="74"/>
      <c r="AE31" s="169"/>
      <c r="AF31" s="169"/>
      <c r="AG31" s="56"/>
      <c r="AH31" s="56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57"/>
      <c r="BA31" s="57"/>
      <c r="BB31" s="57"/>
      <c r="BC31" s="57"/>
      <c r="BD31" s="57"/>
      <c r="BE31" s="57"/>
      <c r="BF31" s="57"/>
      <c r="BG31" s="56"/>
      <c r="BH31" s="56"/>
      <c r="BI31" s="56"/>
      <c r="BJ31" s="56"/>
    </row>
    <row r="32" spans="1:62" s="53" customFormat="1" ht="41.25" customHeight="1" x14ac:dyDescent="0.25">
      <c r="A32" s="152">
        <v>65</v>
      </c>
      <c r="B32" s="152" t="s">
        <v>62</v>
      </c>
      <c r="C32" s="183" t="s">
        <v>403</v>
      </c>
      <c r="D32" s="183" t="s">
        <v>404</v>
      </c>
      <c r="E32" s="184" t="s">
        <v>50</v>
      </c>
      <c r="F32" s="185" t="s">
        <v>471</v>
      </c>
      <c r="G32" s="186">
        <v>43263</v>
      </c>
      <c r="H32" s="187" t="s">
        <v>481</v>
      </c>
      <c r="I32" s="192" t="s">
        <v>482</v>
      </c>
      <c r="J32" s="194" t="s">
        <v>483</v>
      </c>
      <c r="K32" s="164" t="s">
        <v>251</v>
      </c>
      <c r="L32" s="161" t="s">
        <v>124</v>
      </c>
      <c r="M32" s="163" t="s">
        <v>153</v>
      </c>
      <c r="N32" s="181" t="s">
        <v>60</v>
      </c>
      <c r="O32" s="198" t="s">
        <v>60</v>
      </c>
      <c r="P32" s="200">
        <v>1.63</v>
      </c>
      <c r="Q32" s="202">
        <v>1.62</v>
      </c>
      <c r="R32" s="209"/>
      <c r="S32" s="169"/>
      <c r="T32" s="169"/>
      <c r="U32" s="132" t="str">
        <f t="shared" si="0"/>
        <v/>
      </c>
      <c r="V32" s="220"/>
      <c r="W32" s="220"/>
      <c r="X32" s="169"/>
      <c r="Y32" s="226" t="str">
        <f>IF(Q32&lt;&gt;"",IF(Q32&lt;=1.2,IF(O32="A","CR",IF(V32&lt;&gt;"",IF(Parametre_2018!N$4=1,IF(LEFT(V32,1)="1",IF(V32&lt;&gt;"",IF(Parametre_2018!O$4&lt;&gt;"",IF(N32&lt;=Parametre_2018!O$4,IF(V32&lt;&gt;"",IF(Parametre_2018!P$4&lt;&gt;"",IF(O32&lt;=Parametre_2018!P$4,"PLD",""),"PLD"),""),""),IF(V32&lt;&gt;"",IF(Parametre_2018!P$4&lt;&gt;"",IF(O32&lt;=Parametre_2018!P$4,"PLD",""),"PLD"),"")),""),""),IF(V32&lt;&gt;"",IF(Parametre_2018!O$4&lt;&gt;"",IF(N32&lt;=Parametre_2018!O$4,IF(V32&lt;&gt;"",IF(Parametre_2018!P$4&lt;&gt;"",IF(O32&lt;=Parametre_2018!P$4,"PLD",""),"PLD"),""),""),IF(V32&lt;&gt;"",IF(Parametre_2018!P$4&lt;&gt;"",IF(O32&lt;=Parametre_2018!P$4,"PLD",""),"PLD"),"")),"")),"")),IF(V32&lt;&gt;"",IF(Parametre_2018!N$4=1,IF(LEFT(V32,1)="1",IF(V32&lt;&gt;"",IF(Parametre_2018!O$4&lt;&gt;"",IF(N32&lt;=Parametre_2018!O$4,IF(V32&lt;&gt;"",IF(Parametre_2018!P$4&lt;&gt;"",IF(O32&lt;=Parametre_2018!P$4,"PLD",""),"PLD"),""),""),IF(V32&lt;&gt;"",IF(Parametre_2018!P$4&lt;&gt;"",IF(O32&lt;=Parametre_2018!P$4,"PLD",""),"PLD"),"")),""),""),IF(V32&lt;&gt;"",IF(Parametre_2018!O$4&lt;&gt;"",IF(N32&lt;=Parametre_2018!O$4,IF(V32&lt;&gt;"",IF(Parametre_2018!P$4&lt;&gt;"",IF(O32&lt;=Parametre_2018!P$4,"PLD",""),"PLD"),""),""),IF(V32&lt;&gt;"",IF(Parametre_2018!P$4&lt;&gt;"",IF(O32&lt;=Parametre_2018!P$4,"PLD",""),"PLD"),"")),"")),"")),"")</f>
        <v/>
      </c>
      <c r="Z32" s="220"/>
      <c r="AA32" s="227"/>
      <c r="AB32" s="228" t="str">
        <f>IF(Q32&lt;&gt;"",IF(Q32&lt;=Parametre_2018!B$4,IF(Parametre_2018!C$4&lt;&gt;"",IF(N32&lt;=Parametre_2018!C$4,IF(Parametre_2018!D$4&lt;&gt;"",IF(O32&lt;=Parametre_2018!D$4,"MCL",IF(Parametre_2018!I$4&lt;&gt;"",IF(N32&lt;=Parametre_2018!I$4,IF(Parametre_2018!J$4&lt;&gt;"",IF(O32&lt;=Parametre_2018!J$4,"CL",""),"CL"),""),IF(Parametre_2018!J$4&lt;&gt;"",IF(O32&lt;=Parametre_2018!J$4,"CL",""),"CL"))),"MCL"),IF(Parametre_2018!I$4&lt;&gt;"",IF(N32&lt;=Parametre_2018!I$4,IF(Parametre_2018!J$4&lt;&gt;"",IF(O32&lt;=Parametre_2018!J$4,"CL",""),"CL"),""),IF(Parametre_2018!J$4&lt;&gt;"",IF(O32&lt;=Parametre_2018!J$4,"CL",""),"CL"))),IF(Parametre_2018!D$4&lt;&gt;"",IF(O32&lt;=Parametre_2018!D$4,"MCL",IF(Parametre_2018!I$4&lt;&gt;"",IF(N32&lt;=Parametre_2018!I$4,IF(Parametre_2018!J$4&lt;&gt;"",IF(O32&lt;=Parametre_2018!J$4,"CL",""),"CL"),""),IF(Parametre_2018!J$4&lt;&gt;"",IF(O32&lt;=Parametre_2018!J$4,"CL",""),"CL"))),"MCL")),IF(Q32&lt;&gt;"",IF(AND(Q32&gt;Parametre_2018!B$4,Q32&lt;=Parametre_2018!H$4),IF(Parametre_2018!I$4&lt;&gt;"",IF(N32&lt;=Parametre_2018!I$4,IF(Parametre_2018!J$4&lt;&gt;"",IF(O32&lt;=Parametre_2018!J$4,"CL",""),"CL"),""),IF(Parametre_2018!J$4&lt;&gt;"",IF(O32&lt;=Parametre_2018!J$4,"CL",""),"CL")),""),"")),"")</f>
        <v/>
      </c>
      <c r="AC32" s="169"/>
      <c r="AD32" s="74"/>
      <c r="AE32" s="169"/>
      <c r="AF32" s="169"/>
      <c r="AG32" s="56"/>
      <c r="AH32" s="56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56"/>
      <c r="BA32" s="56"/>
      <c r="BB32" s="56"/>
      <c r="BC32" s="56"/>
      <c r="BD32" s="56"/>
      <c r="BE32" s="56"/>
      <c r="BF32" s="56"/>
    </row>
    <row r="33" spans="1:62" s="53" customFormat="1" ht="41.25" customHeight="1" x14ac:dyDescent="0.25">
      <c r="A33" s="152">
        <v>55</v>
      </c>
      <c r="B33" s="152" t="s">
        <v>62</v>
      </c>
      <c r="C33" s="183" t="s">
        <v>389</v>
      </c>
      <c r="D33" s="183" t="s">
        <v>390</v>
      </c>
      <c r="E33" s="184" t="s">
        <v>50</v>
      </c>
      <c r="F33" s="185" t="s">
        <v>471</v>
      </c>
      <c r="G33" s="195">
        <v>43262</v>
      </c>
      <c r="H33" s="192" t="s">
        <v>500</v>
      </c>
      <c r="I33" s="192" t="s">
        <v>482</v>
      </c>
      <c r="J33" s="194" t="s">
        <v>501</v>
      </c>
      <c r="K33" s="164" t="s">
        <v>241</v>
      </c>
      <c r="L33" s="161" t="s">
        <v>124</v>
      </c>
      <c r="M33" s="163" t="s">
        <v>135</v>
      </c>
      <c r="N33" s="181" t="s">
        <v>59</v>
      </c>
      <c r="O33" s="198" t="s">
        <v>60</v>
      </c>
      <c r="P33" s="200">
        <v>1.61</v>
      </c>
      <c r="Q33" s="202">
        <v>1.63</v>
      </c>
      <c r="R33" s="209"/>
      <c r="S33" s="220" t="s">
        <v>62</v>
      </c>
      <c r="T33" s="220"/>
      <c r="U33" s="132" t="str">
        <f t="shared" si="0"/>
        <v/>
      </c>
      <c r="V33" s="220"/>
      <c r="W33" s="220"/>
      <c r="X33" s="220"/>
      <c r="Y33" s="226" t="str">
        <f>IF(Q33&lt;&gt;"",IF(Q33&lt;=1.2,IF(O33="A","CR",IF(V33&lt;&gt;"",IF(Parametre_2018!N$4=1,IF(LEFT(V33,1)="1",IF(V33&lt;&gt;"",IF(Parametre_2018!O$4&lt;&gt;"",IF(N33&lt;=Parametre_2018!O$4,IF(V33&lt;&gt;"",IF(Parametre_2018!P$4&lt;&gt;"",IF(O33&lt;=Parametre_2018!P$4,"PLD",""),"PLD"),""),""),IF(V33&lt;&gt;"",IF(Parametre_2018!P$4&lt;&gt;"",IF(O33&lt;=Parametre_2018!P$4,"PLD",""),"PLD"),"")),""),""),IF(V33&lt;&gt;"",IF(Parametre_2018!O$4&lt;&gt;"",IF(N33&lt;=Parametre_2018!O$4,IF(V33&lt;&gt;"",IF(Parametre_2018!P$4&lt;&gt;"",IF(O33&lt;=Parametre_2018!P$4,"PLD",""),"PLD"),""),""),IF(V33&lt;&gt;"",IF(Parametre_2018!P$4&lt;&gt;"",IF(O33&lt;=Parametre_2018!P$4,"PLD",""),"PLD"),"")),"")),"")),IF(V33&lt;&gt;"",IF(Parametre_2018!N$4=1,IF(LEFT(V33,1)="1",IF(V33&lt;&gt;"",IF(Parametre_2018!O$4&lt;&gt;"",IF(N33&lt;=Parametre_2018!O$4,IF(V33&lt;&gt;"",IF(Parametre_2018!P$4&lt;&gt;"",IF(O33&lt;=Parametre_2018!P$4,"PLD",""),"PLD"),""),""),IF(V33&lt;&gt;"",IF(Parametre_2018!P$4&lt;&gt;"",IF(O33&lt;=Parametre_2018!P$4,"PLD",""),"PLD"),"")),""),""),IF(V33&lt;&gt;"",IF(Parametre_2018!O$4&lt;&gt;"",IF(N33&lt;=Parametre_2018!O$4,IF(V33&lt;&gt;"",IF(Parametre_2018!P$4&lt;&gt;"",IF(O33&lt;=Parametre_2018!P$4,"PLD",""),"PLD"),""),""),IF(V33&lt;&gt;"",IF(Parametre_2018!P$4&lt;&gt;"",IF(O33&lt;=Parametre_2018!P$4,"PLD",""),"PLD"),"")),"")),"")),"")</f>
        <v/>
      </c>
      <c r="Z33" s="220"/>
      <c r="AA33" s="227"/>
      <c r="AB33" s="228" t="str">
        <f>IF(Q33&lt;&gt;"",IF(Q33&lt;=Parametre_2018!B$4,IF(Parametre_2018!C$4&lt;&gt;"",IF(N33&lt;=Parametre_2018!C$4,IF(Parametre_2018!D$4&lt;&gt;"",IF(O33&lt;=Parametre_2018!D$4,"MCL",IF(Parametre_2018!I$4&lt;&gt;"",IF(N33&lt;=Parametre_2018!I$4,IF(Parametre_2018!J$4&lt;&gt;"",IF(O33&lt;=Parametre_2018!J$4,"CL",""),"CL"),""),IF(Parametre_2018!J$4&lt;&gt;"",IF(O33&lt;=Parametre_2018!J$4,"CL",""),"CL"))),"MCL"),IF(Parametre_2018!I$4&lt;&gt;"",IF(N33&lt;=Parametre_2018!I$4,IF(Parametre_2018!J$4&lt;&gt;"",IF(O33&lt;=Parametre_2018!J$4,"CL",""),"CL"),""),IF(Parametre_2018!J$4&lt;&gt;"",IF(O33&lt;=Parametre_2018!J$4,"CL",""),"CL"))),IF(Parametre_2018!D$4&lt;&gt;"",IF(O33&lt;=Parametre_2018!D$4,"MCL",IF(Parametre_2018!I$4&lt;&gt;"",IF(N33&lt;=Parametre_2018!I$4,IF(Parametre_2018!J$4&lt;&gt;"",IF(O33&lt;=Parametre_2018!J$4,"CL",""),"CL"),""),IF(Parametre_2018!J$4&lt;&gt;"",IF(O33&lt;=Parametre_2018!J$4,"CL",""),"CL"))),"MCL")),IF(Q33&lt;&gt;"",IF(AND(Q33&gt;Parametre_2018!B$4,Q33&lt;=Parametre_2018!H$4),IF(Parametre_2018!I$4&lt;&gt;"",IF(N33&lt;=Parametre_2018!I$4,IF(Parametre_2018!J$4&lt;&gt;"",IF(O33&lt;=Parametre_2018!J$4,"CL",""),"CL"),""),IF(Parametre_2018!J$4&lt;&gt;"",IF(O33&lt;=Parametre_2018!J$4,"CL",""),"CL")),""),"")),"")</f>
        <v/>
      </c>
      <c r="AC33" s="169"/>
      <c r="AD33" s="74"/>
      <c r="AE33" s="169"/>
      <c r="AF33" s="169"/>
      <c r="AG33" s="56"/>
      <c r="AH33" s="56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56"/>
      <c r="BA33" s="56"/>
      <c r="BB33" s="56"/>
      <c r="BC33" s="56"/>
      <c r="BD33" s="56"/>
      <c r="BE33" s="56"/>
      <c r="BF33" s="56"/>
    </row>
    <row r="34" spans="1:62" s="53" customFormat="1" ht="41.25" customHeight="1" x14ac:dyDescent="0.25">
      <c r="A34" s="152">
        <v>80</v>
      </c>
      <c r="B34" s="152" t="s">
        <v>62</v>
      </c>
      <c r="C34" s="183" t="s">
        <v>422</v>
      </c>
      <c r="D34" s="183" t="s">
        <v>323</v>
      </c>
      <c r="E34" s="184" t="s">
        <v>50</v>
      </c>
      <c r="F34" s="185" t="s">
        <v>470</v>
      </c>
      <c r="G34" s="186">
        <v>43263</v>
      </c>
      <c r="H34" s="187" t="s">
        <v>484</v>
      </c>
      <c r="I34" s="192" t="s">
        <v>485</v>
      </c>
      <c r="J34" s="172" t="s">
        <v>486</v>
      </c>
      <c r="K34" s="164" t="s">
        <v>266</v>
      </c>
      <c r="L34" s="161" t="s">
        <v>143</v>
      </c>
      <c r="M34" s="163" t="s">
        <v>182</v>
      </c>
      <c r="N34" s="178" t="s">
        <v>62</v>
      </c>
      <c r="O34" s="198" t="s">
        <v>60</v>
      </c>
      <c r="P34" s="200">
        <v>1.68</v>
      </c>
      <c r="Q34" s="202">
        <v>1.63</v>
      </c>
      <c r="R34" s="213"/>
      <c r="S34" s="174"/>
      <c r="T34" s="174"/>
      <c r="U34" s="132" t="str">
        <f t="shared" si="0"/>
        <v/>
      </c>
      <c r="V34" s="152"/>
      <c r="W34" s="152"/>
      <c r="X34" s="155"/>
      <c r="Y34" s="226" t="str">
        <f>IF(Q34&lt;&gt;"",IF(Q34&lt;=1.2,IF(O34="A","CR",IF(V34&lt;&gt;"",IF(Parametre_2018!N$4=1,IF(LEFT(V34,1)="1",IF(V34&lt;&gt;"",IF(Parametre_2018!O$4&lt;&gt;"",IF(N34&lt;=Parametre_2018!O$4,IF(V34&lt;&gt;"",IF(Parametre_2018!P$4&lt;&gt;"",IF(O34&lt;=Parametre_2018!P$4,"PLD",""),"PLD"),""),""),IF(V34&lt;&gt;"",IF(Parametre_2018!P$4&lt;&gt;"",IF(O34&lt;=Parametre_2018!P$4,"PLD",""),"PLD"),"")),""),""),IF(V34&lt;&gt;"",IF(Parametre_2018!O$4&lt;&gt;"",IF(N34&lt;=Parametre_2018!O$4,IF(V34&lt;&gt;"",IF(Parametre_2018!P$4&lt;&gt;"",IF(O34&lt;=Parametre_2018!P$4,"PLD",""),"PLD"),""),""),IF(V34&lt;&gt;"",IF(Parametre_2018!P$4&lt;&gt;"",IF(O34&lt;=Parametre_2018!P$4,"PLD",""),"PLD"),"")),"")),"")),IF(V34&lt;&gt;"",IF(Parametre_2018!N$4=1,IF(LEFT(V34,1)="1",IF(V34&lt;&gt;"",IF(Parametre_2018!O$4&lt;&gt;"",IF(N34&lt;=Parametre_2018!O$4,IF(V34&lt;&gt;"",IF(Parametre_2018!P$4&lt;&gt;"",IF(O34&lt;=Parametre_2018!P$4,"PLD",""),"PLD"),""),""),IF(V34&lt;&gt;"",IF(Parametre_2018!P$4&lt;&gt;"",IF(O34&lt;=Parametre_2018!P$4,"PLD",""),"PLD"),"")),""),""),IF(V34&lt;&gt;"",IF(Parametre_2018!O$4&lt;&gt;"",IF(N34&lt;=Parametre_2018!O$4,IF(V34&lt;&gt;"",IF(Parametre_2018!P$4&lt;&gt;"",IF(O34&lt;=Parametre_2018!P$4,"PLD",""),"PLD"),""),""),IF(V34&lt;&gt;"",IF(Parametre_2018!P$4&lt;&gt;"",IF(O34&lt;=Parametre_2018!P$4,"PLD",""),"PLD"),"")),"")),"")),"")</f>
        <v/>
      </c>
      <c r="Z34" s="152"/>
      <c r="AA34" s="227"/>
      <c r="AB34" s="228" t="str">
        <f>IF(Q34&lt;&gt;"",IF(Q34&lt;=Parametre_2018!B$4,IF(Parametre_2018!C$4&lt;&gt;"",IF(N34&lt;=Parametre_2018!C$4,IF(Parametre_2018!D$4&lt;&gt;"",IF(O34&lt;=Parametre_2018!D$4,"MCL",IF(Parametre_2018!I$4&lt;&gt;"",IF(N34&lt;=Parametre_2018!I$4,IF(Parametre_2018!J$4&lt;&gt;"",IF(O34&lt;=Parametre_2018!J$4,"CL",""),"CL"),""),IF(Parametre_2018!J$4&lt;&gt;"",IF(O34&lt;=Parametre_2018!J$4,"CL",""),"CL"))),"MCL"),IF(Parametre_2018!I$4&lt;&gt;"",IF(N34&lt;=Parametre_2018!I$4,IF(Parametre_2018!J$4&lt;&gt;"",IF(O34&lt;=Parametre_2018!J$4,"CL",""),"CL"),""),IF(Parametre_2018!J$4&lt;&gt;"",IF(O34&lt;=Parametre_2018!J$4,"CL",""),"CL"))),IF(Parametre_2018!D$4&lt;&gt;"",IF(O34&lt;=Parametre_2018!D$4,"MCL",IF(Parametre_2018!I$4&lt;&gt;"",IF(N34&lt;=Parametre_2018!I$4,IF(Parametre_2018!J$4&lt;&gt;"",IF(O34&lt;=Parametre_2018!J$4,"CL",""),"CL"),""),IF(Parametre_2018!J$4&lt;&gt;"",IF(O34&lt;=Parametre_2018!J$4,"CL",""),"CL"))),"MCL")),IF(Q34&lt;&gt;"",IF(AND(Q34&gt;Parametre_2018!B$4,Q34&lt;=Parametre_2018!H$4),IF(Parametre_2018!I$4&lt;&gt;"",IF(N34&lt;=Parametre_2018!I$4,IF(Parametre_2018!J$4&lt;&gt;"",IF(O34&lt;=Parametre_2018!J$4,"CL",""),"CL"),""),IF(Parametre_2018!J$4&lt;&gt;"",IF(O34&lt;=Parametre_2018!J$4,"CL",""),"CL")),""),"")),"")</f>
        <v/>
      </c>
      <c r="AC34" s="155"/>
      <c r="AD34" s="74"/>
      <c r="AE34" s="155"/>
      <c r="AF34" s="175"/>
      <c r="AG34" s="56"/>
      <c r="AH34" s="56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56"/>
      <c r="BA34" s="56"/>
      <c r="BB34" s="56"/>
      <c r="BC34" s="56"/>
      <c r="BD34" s="56"/>
      <c r="BE34" s="56"/>
      <c r="BF34" s="56"/>
    </row>
    <row r="35" spans="1:62" s="53" customFormat="1" ht="41.25" customHeight="1" x14ac:dyDescent="0.25">
      <c r="A35" s="152">
        <v>40</v>
      </c>
      <c r="B35" s="152" t="s">
        <v>62</v>
      </c>
      <c r="C35" s="183" t="s">
        <v>369</v>
      </c>
      <c r="D35" s="183" t="s">
        <v>370</v>
      </c>
      <c r="E35" s="184" t="s">
        <v>50</v>
      </c>
      <c r="F35" s="185" t="s">
        <v>471</v>
      </c>
      <c r="G35" s="195">
        <v>43262</v>
      </c>
      <c r="H35" s="192" t="s">
        <v>498</v>
      </c>
      <c r="I35" s="192" t="s">
        <v>480</v>
      </c>
      <c r="J35" s="172" t="s">
        <v>499</v>
      </c>
      <c r="K35" s="164" t="s">
        <v>226</v>
      </c>
      <c r="L35" s="161" t="s">
        <v>127</v>
      </c>
      <c r="M35" s="163" t="s">
        <v>183</v>
      </c>
      <c r="N35" s="62" t="s">
        <v>60</v>
      </c>
      <c r="O35" s="198" t="s">
        <v>60</v>
      </c>
      <c r="P35" s="200">
        <v>1.63</v>
      </c>
      <c r="Q35" s="202">
        <v>1.64</v>
      </c>
      <c r="R35" s="59"/>
      <c r="S35" s="60"/>
      <c r="T35" s="55"/>
      <c r="U35" s="132" t="str">
        <f t="shared" si="0"/>
        <v/>
      </c>
      <c r="V35" s="55"/>
      <c r="W35" s="55" t="s">
        <v>62</v>
      </c>
      <c r="X35" s="54"/>
      <c r="Y35" s="226" t="str">
        <f>IF(Q35&lt;&gt;"",IF(Q35&lt;=1.2,IF(O35="A","CR",IF(V35&lt;&gt;"",IF(Parametre_2018!N$4=1,IF(LEFT(V35,1)="1",IF(V35&lt;&gt;"",IF(Parametre_2018!O$4&lt;&gt;"",IF(N35&lt;=Parametre_2018!O$4,IF(V35&lt;&gt;"",IF(Parametre_2018!P$4&lt;&gt;"",IF(O35&lt;=Parametre_2018!P$4,"PLD",""),"PLD"),""),""),IF(V35&lt;&gt;"",IF(Parametre_2018!P$4&lt;&gt;"",IF(O35&lt;=Parametre_2018!P$4,"PLD",""),"PLD"),"")),""),""),IF(V35&lt;&gt;"",IF(Parametre_2018!O$4&lt;&gt;"",IF(N35&lt;=Parametre_2018!O$4,IF(V35&lt;&gt;"",IF(Parametre_2018!P$4&lt;&gt;"",IF(O35&lt;=Parametre_2018!P$4,"PLD",""),"PLD"),""),""),IF(V35&lt;&gt;"",IF(Parametre_2018!P$4&lt;&gt;"",IF(O35&lt;=Parametre_2018!P$4,"PLD",""),"PLD"),"")),"")),"")),IF(V35&lt;&gt;"",IF(Parametre_2018!N$4=1,IF(LEFT(V35,1)="1",IF(V35&lt;&gt;"",IF(Parametre_2018!O$4&lt;&gt;"",IF(N35&lt;=Parametre_2018!O$4,IF(V35&lt;&gt;"",IF(Parametre_2018!P$4&lt;&gt;"",IF(O35&lt;=Parametre_2018!P$4,"PLD",""),"PLD"),""),""),IF(V35&lt;&gt;"",IF(Parametre_2018!P$4&lt;&gt;"",IF(O35&lt;=Parametre_2018!P$4,"PLD",""),"PLD"),"")),""),""),IF(V35&lt;&gt;"",IF(Parametre_2018!O$4&lt;&gt;"",IF(N35&lt;=Parametre_2018!O$4,IF(V35&lt;&gt;"",IF(Parametre_2018!P$4&lt;&gt;"",IF(O35&lt;=Parametre_2018!P$4,"PLD",""),"PLD"),""),""),IF(V35&lt;&gt;"",IF(Parametre_2018!P$4&lt;&gt;"",IF(O35&lt;=Parametre_2018!P$4,"PLD",""),"PLD"),"")),"")),"")),"")</f>
        <v/>
      </c>
      <c r="Z35" s="58"/>
      <c r="AA35" s="227"/>
      <c r="AB35" s="228" t="str">
        <f>IF(Q35&lt;&gt;"",IF(Q35&lt;=Parametre_2018!B$4,IF(Parametre_2018!C$4&lt;&gt;"",IF(N35&lt;=Parametre_2018!C$4,IF(Parametre_2018!D$4&lt;&gt;"",IF(O35&lt;=Parametre_2018!D$4,"MCL",IF(Parametre_2018!I$4&lt;&gt;"",IF(N35&lt;=Parametre_2018!I$4,IF(Parametre_2018!J$4&lt;&gt;"",IF(O35&lt;=Parametre_2018!J$4,"CL",""),"CL"),""),IF(Parametre_2018!J$4&lt;&gt;"",IF(O35&lt;=Parametre_2018!J$4,"CL",""),"CL"))),"MCL"),IF(Parametre_2018!I$4&lt;&gt;"",IF(N35&lt;=Parametre_2018!I$4,IF(Parametre_2018!J$4&lt;&gt;"",IF(O35&lt;=Parametre_2018!J$4,"CL",""),"CL"),""),IF(Parametre_2018!J$4&lt;&gt;"",IF(O35&lt;=Parametre_2018!J$4,"CL",""),"CL"))),IF(Parametre_2018!D$4&lt;&gt;"",IF(O35&lt;=Parametre_2018!D$4,"MCL",IF(Parametre_2018!I$4&lt;&gt;"",IF(N35&lt;=Parametre_2018!I$4,IF(Parametre_2018!J$4&lt;&gt;"",IF(O35&lt;=Parametre_2018!J$4,"CL",""),"CL"),""),IF(Parametre_2018!J$4&lt;&gt;"",IF(O35&lt;=Parametre_2018!J$4,"CL",""),"CL"))),"MCL")),IF(Q35&lt;&gt;"",IF(AND(Q35&gt;Parametre_2018!B$4,Q35&lt;=Parametre_2018!H$4),IF(Parametre_2018!I$4&lt;&gt;"",IF(N35&lt;=Parametre_2018!I$4,IF(Parametre_2018!J$4&lt;&gt;"",IF(O35&lt;=Parametre_2018!J$4,"CL",""),"CL"),""),IF(Parametre_2018!J$4&lt;&gt;"",IF(O35&lt;=Parametre_2018!J$4,"CL",""),"CL")),""),"")),"")</f>
        <v/>
      </c>
      <c r="AC35" s="89"/>
      <c r="AD35" s="74"/>
      <c r="AE35" s="54"/>
      <c r="AF35" s="54" t="s">
        <v>64</v>
      </c>
      <c r="AG35" s="56"/>
      <c r="AH35" s="56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  <c r="AW35" s="119"/>
      <c r="AX35" s="119"/>
      <c r="AY35" s="119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</row>
    <row r="36" spans="1:62" s="53" customFormat="1" ht="41.25" customHeight="1" x14ac:dyDescent="0.25">
      <c r="A36" s="152">
        <v>83</v>
      </c>
      <c r="B36" s="152" t="s">
        <v>62</v>
      </c>
      <c r="C36" s="183" t="s">
        <v>427</v>
      </c>
      <c r="D36" s="183" t="s">
        <v>428</v>
      </c>
      <c r="E36" s="184" t="s">
        <v>50</v>
      </c>
      <c r="F36" s="185" t="s">
        <v>471</v>
      </c>
      <c r="G36" s="195">
        <v>43262</v>
      </c>
      <c r="H36" s="187" t="s">
        <v>489</v>
      </c>
      <c r="I36" s="192" t="s">
        <v>18</v>
      </c>
      <c r="J36" s="194" t="s">
        <v>490</v>
      </c>
      <c r="K36" s="164" t="s">
        <v>269</v>
      </c>
      <c r="L36" s="161" t="s">
        <v>161</v>
      </c>
      <c r="M36" s="163" t="s">
        <v>162</v>
      </c>
      <c r="N36" s="178" t="s">
        <v>62</v>
      </c>
      <c r="O36" s="198" t="s">
        <v>62</v>
      </c>
      <c r="P36" s="200">
        <v>1.63</v>
      </c>
      <c r="Q36" s="202">
        <v>1.64</v>
      </c>
      <c r="R36" s="213"/>
      <c r="S36" s="174"/>
      <c r="T36" s="174"/>
      <c r="U36" s="132" t="str">
        <f t="shared" ref="U36:U67" si="1">IF(OR(V36&lt;&gt;"",Y36&lt;&gt;"",AB36&lt;&gt;""),"Navrh","")</f>
        <v/>
      </c>
      <c r="V36" s="152"/>
      <c r="W36" s="152"/>
      <c r="X36" s="204" t="s">
        <v>62</v>
      </c>
      <c r="Y36" s="226" t="str">
        <f>IF(Q36&lt;&gt;"",IF(Q36&lt;=1.2,IF(O36="A","CR",IF(V36&lt;&gt;"",IF(Parametre_2018!N$4=1,IF(LEFT(V36,1)="1",IF(V36&lt;&gt;"",IF(Parametre_2018!O$4&lt;&gt;"",IF(N36&lt;=Parametre_2018!O$4,IF(V36&lt;&gt;"",IF(Parametre_2018!P$4&lt;&gt;"",IF(O36&lt;=Parametre_2018!P$4,"PLD",""),"PLD"),""),""),IF(V36&lt;&gt;"",IF(Parametre_2018!P$4&lt;&gt;"",IF(O36&lt;=Parametre_2018!P$4,"PLD",""),"PLD"),"")),""),""),IF(V36&lt;&gt;"",IF(Parametre_2018!O$4&lt;&gt;"",IF(N36&lt;=Parametre_2018!O$4,IF(V36&lt;&gt;"",IF(Parametre_2018!P$4&lt;&gt;"",IF(O36&lt;=Parametre_2018!P$4,"PLD",""),"PLD"),""),""),IF(V36&lt;&gt;"",IF(Parametre_2018!P$4&lt;&gt;"",IF(O36&lt;=Parametre_2018!P$4,"PLD",""),"PLD"),"")),"")),"")),IF(V36&lt;&gt;"",IF(Parametre_2018!N$4=1,IF(LEFT(V36,1)="1",IF(V36&lt;&gt;"",IF(Parametre_2018!O$4&lt;&gt;"",IF(N36&lt;=Parametre_2018!O$4,IF(V36&lt;&gt;"",IF(Parametre_2018!P$4&lt;&gt;"",IF(O36&lt;=Parametre_2018!P$4,"PLD",""),"PLD"),""),""),IF(V36&lt;&gt;"",IF(Parametre_2018!P$4&lt;&gt;"",IF(O36&lt;=Parametre_2018!P$4,"PLD",""),"PLD"),"")),""),""),IF(V36&lt;&gt;"",IF(Parametre_2018!O$4&lt;&gt;"",IF(N36&lt;=Parametre_2018!O$4,IF(V36&lt;&gt;"",IF(Parametre_2018!P$4&lt;&gt;"",IF(O36&lt;=Parametre_2018!P$4,"PLD",""),"PLD"),""),""),IF(V36&lt;&gt;"",IF(Parametre_2018!P$4&lt;&gt;"",IF(O36&lt;=Parametre_2018!P$4,"PLD",""),"PLD"),"")),"")),"")),"")</f>
        <v/>
      </c>
      <c r="Z36" s="152"/>
      <c r="AA36" s="227"/>
      <c r="AB36" s="228" t="str">
        <f>IF(Q36&lt;&gt;"",IF(Q36&lt;=Parametre_2018!B$4,IF(Parametre_2018!C$4&lt;&gt;"",IF(N36&lt;=Parametre_2018!C$4,IF(Parametre_2018!D$4&lt;&gt;"",IF(O36&lt;=Parametre_2018!D$4,"MCL",IF(Parametre_2018!I$4&lt;&gt;"",IF(N36&lt;=Parametre_2018!I$4,IF(Parametre_2018!J$4&lt;&gt;"",IF(O36&lt;=Parametre_2018!J$4,"CL",""),"CL"),""),IF(Parametre_2018!J$4&lt;&gt;"",IF(O36&lt;=Parametre_2018!J$4,"CL",""),"CL"))),"MCL"),IF(Parametre_2018!I$4&lt;&gt;"",IF(N36&lt;=Parametre_2018!I$4,IF(Parametre_2018!J$4&lt;&gt;"",IF(O36&lt;=Parametre_2018!J$4,"CL",""),"CL"),""),IF(Parametre_2018!J$4&lt;&gt;"",IF(O36&lt;=Parametre_2018!J$4,"CL",""),"CL"))),IF(Parametre_2018!D$4&lt;&gt;"",IF(O36&lt;=Parametre_2018!D$4,"MCL",IF(Parametre_2018!I$4&lt;&gt;"",IF(N36&lt;=Parametre_2018!I$4,IF(Parametre_2018!J$4&lt;&gt;"",IF(O36&lt;=Parametre_2018!J$4,"CL",""),"CL"),""),IF(Parametre_2018!J$4&lt;&gt;"",IF(O36&lt;=Parametre_2018!J$4,"CL",""),"CL"))),"MCL")),IF(Q36&lt;&gt;"",IF(AND(Q36&gt;Parametre_2018!B$4,Q36&lt;=Parametre_2018!H$4),IF(Parametre_2018!I$4&lt;&gt;"",IF(N36&lt;=Parametre_2018!I$4,IF(Parametre_2018!J$4&lt;&gt;"",IF(O36&lt;=Parametre_2018!J$4,"CL",""),"CL"),""),IF(Parametre_2018!J$4&lt;&gt;"",IF(O36&lt;=Parametre_2018!J$4,"CL",""),"CL")),""),"")),"")</f>
        <v/>
      </c>
      <c r="AC36" s="155"/>
      <c r="AD36" s="74"/>
      <c r="AE36" s="155"/>
      <c r="AF36" s="175"/>
      <c r="AG36" s="56"/>
      <c r="AH36" s="56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56"/>
      <c r="BA36" s="56"/>
      <c r="BB36" s="56"/>
      <c r="BC36" s="56"/>
      <c r="BD36" s="56"/>
      <c r="BE36" s="56"/>
      <c r="BF36" s="56"/>
    </row>
    <row r="37" spans="1:62" s="53" customFormat="1" ht="41.25" customHeight="1" x14ac:dyDescent="0.25">
      <c r="A37" s="152">
        <v>38</v>
      </c>
      <c r="B37" s="152" t="s">
        <v>62</v>
      </c>
      <c r="C37" s="183" t="s">
        <v>366</v>
      </c>
      <c r="D37" s="183" t="s">
        <v>367</v>
      </c>
      <c r="E37" s="184" t="s">
        <v>50</v>
      </c>
      <c r="F37" s="185" t="s">
        <v>471</v>
      </c>
      <c r="G37" s="195">
        <v>43262</v>
      </c>
      <c r="H37" s="192" t="s">
        <v>498</v>
      </c>
      <c r="I37" s="192" t="s">
        <v>480</v>
      </c>
      <c r="J37" s="172" t="s">
        <v>499</v>
      </c>
      <c r="K37" s="164" t="s">
        <v>224</v>
      </c>
      <c r="L37" s="161" t="s">
        <v>127</v>
      </c>
      <c r="M37" s="163" t="s">
        <v>161</v>
      </c>
      <c r="N37" s="179" t="s">
        <v>59</v>
      </c>
      <c r="O37" s="198" t="s">
        <v>59</v>
      </c>
      <c r="P37" s="200">
        <v>1.6</v>
      </c>
      <c r="Q37" s="202">
        <v>1.66</v>
      </c>
      <c r="R37" s="60"/>
      <c r="S37" s="60"/>
      <c r="T37" s="58"/>
      <c r="U37" s="132" t="str">
        <f t="shared" si="1"/>
        <v/>
      </c>
      <c r="V37" s="62"/>
      <c r="W37" s="62" t="s">
        <v>62</v>
      </c>
      <c r="X37" s="63"/>
      <c r="Y37" s="226" t="str">
        <f>IF(Q37&lt;&gt;"",IF(Q37&lt;=1.2,IF(O37="A","CR",IF(V37&lt;&gt;"",IF(Parametre_2018!N$4=1,IF(LEFT(V37,1)="1",IF(V37&lt;&gt;"",IF(Parametre_2018!O$4&lt;&gt;"",IF(N37&lt;=Parametre_2018!O$4,IF(V37&lt;&gt;"",IF(Parametre_2018!P$4&lt;&gt;"",IF(O37&lt;=Parametre_2018!P$4,"PLD",""),"PLD"),""),""),IF(V37&lt;&gt;"",IF(Parametre_2018!P$4&lt;&gt;"",IF(O37&lt;=Parametre_2018!P$4,"PLD",""),"PLD"),"")),""),""),IF(V37&lt;&gt;"",IF(Parametre_2018!O$4&lt;&gt;"",IF(N37&lt;=Parametre_2018!O$4,IF(V37&lt;&gt;"",IF(Parametre_2018!P$4&lt;&gt;"",IF(O37&lt;=Parametre_2018!P$4,"PLD",""),"PLD"),""),""),IF(V37&lt;&gt;"",IF(Parametre_2018!P$4&lt;&gt;"",IF(O37&lt;=Parametre_2018!P$4,"PLD",""),"PLD"),"")),"")),"")),IF(V37&lt;&gt;"",IF(Parametre_2018!N$4=1,IF(LEFT(V37,1)="1",IF(V37&lt;&gt;"",IF(Parametre_2018!O$4&lt;&gt;"",IF(N37&lt;=Parametre_2018!O$4,IF(V37&lt;&gt;"",IF(Parametre_2018!P$4&lt;&gt;"",IF(O37&lt;=Parametre_2018!P$4,"PLD",""),"PLD"),""),""),IF(V37&lt;&gt;"",IF(Parametre_2018!P$4&lt;&gt;"",IF(O37&lt;=Parametre_2018!P$4,"PLD",""),"PLD"),"")),""),""),IF(V37&lt;&gt;"",IF(Parametre_2018!O$4&lt;&gt;"",IF(N37&lt;=Parametre_2018!O$4,IF(V37&lt;&gt;"",IF(Parametre_2018!P$4&lt;&gt;"",IF(O37&lt;=Parametre_2018!P$4,"PLD",""),"PLD"),""),""),IF(V37&lt;&gt;"",IF(Parametre_2018!P$4&lt;&gt;"",IF(O37&lt;=Parametre_2018!P$4,"PLD",""),"PLD"),"")),"")),"")),"")</f>
        <v/>
      </c>
      <c r="Z37" s="58"/>
      <c r="AA37" s="227"/>
      <c r="AB37" s="228" t="str">
        <f>IF(Q37&lt;&gt;"",IF(Q37&lt;=Parametre_2018!B$4,IF(Parametre_2018!C$4&lt;&gt;"",IF(N37&lt;=Parametre_2018!C$4,IF(Parametre_2018!D$4&lt;&gt;"",IF(O37&lt;=Parametre_2018!D$4,"MCL",IF(Parametre_2018!I$4&lt;&gt;"",IF(N37&lt;=Parametre_2018!I$4,IF(Parametre_2018!J$4&lt;&gt;"",IF(O37&lt;=Parametre_2018!J$4,"CL",""),"CL"),""),IF(Parametre_2018!J$4&lt;&gt;"",IF(O37&lt;=Parametre_2018!J$4,"CL",""),"CL"))),"MCL"),IF(Parametre_2018!I$4&lt;&gt;"",IF(N37&lt;=Parametre_2018!I$4,IF(Parametre_2018!J$4&lt;&gt;"",IF(O37&lt;=Parametre_2018!J$4,"CL",""),"CL"),""),IF(Parametre_2018!J$4&lt;&gt;"",IF(O37&lt;=Parametre_2018!J$4,"CL",""),"CL"))),IF(Parametre_2018!D$4&lt;&gt;"",IF(O37&lt;=Parametre_2018!D$4,"MCL",IF(Parametre_2018!I$4&lt;&gt;"",IF(N37&lt;=Parametre_2018!I$4,IF(Parametre_2018!J$4&lt;&gt;"",IF(O37&lt;=Parametre_2018!J$4,"CL",""),"CL"),""),IF(Parametre_2018!J$4&lt;&gt;"",IF(O37&lt;=Parametre_2018!J$4,"CL",""),"CL"))),"MCL")),IF(Q37&lt;&gt;"",IF(AND(Q37&gt;Parametre_2018!B$4,Q37&lt;=Parametre_2018!H$4),IF(Parametre_2018!I$4&lt;&gt;"",IF(N37&lt;=Parametre_2018!I$4,IF(Parametre_2018!J$4&lt;&gt;"",IF(O37&lt;=Parametre_2018!J$4,"CL",""),"CL"),""),IF(Parametre_2018!J$4&lt;&gt;"",IF(O37&lt;=Parametre_2018!J$4,"CL",""),"CL")),""),"")),"")</f>
        <v/>
      </c>
      <c r="AC37" s="89"/>
      <c r="AD37" s="74"/>
      <c r="AE37" s="63"/>
      <c r="AF37" s="63"/>
      <c r="AG37" s="61"/>
      <c r="AH37" s="61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19"/>
      <c r="AX37" s="119"/>
      <c r="AY37" s="119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</row>
    <row r="38" spans="1:62" s="53" customFormat="1" ht="41.25" customHeight="1" x14ac:dyDescent="0.25">
      <c r="A38" s="152">
        <v>25</v>
      </c>
      <c r="B38" s="152" t="s">
        <v>62</v>
      </c>
      <c r="C38" s="183" t="s">
        <v>346</v>
      </c>
      <c r="D38" s="183" t="s">
        <v>347</v>
      </c>
      <c r="E38" s="184" t="s">
        <v>50</v>
      </c>
      <c r="F38" s="185" t="s">
        <v>471</v>
      </c>
      <c r="G38" s="195">
        <v>43262</v>
      </c>
      <c r="H38" s="192" t="s">
        <v>500</v>
      </c>
      <c r="I38" s="192" t="s">
        <v>482</v>
      </c>
      <c r="J38" s="194" t="s">
        <v>501</v>
      </c>
      <c r="K38" s="164" t="s">
        <v>211</v>
      </c>
      <c r="L38" s="161" t="s">
        <v>135</v>
      </c>
      <c r="M38" s="163" t="s">
        <v>124</v>
      </c>
      <c r="N38" s="178" t="s">
        <v>62</v>
      </c>
      <c r="O38" s="198" t="s">
        <v>62</v>
      </c>
      <c r="P38" s="200">
        <v>1.77</v>
      </c>
      <c r="Q38" s="202">
        <v>1.68</v>
      </c>
      <c r="R38" s="207"/>
      <c r="S38" s="152"/>
      <c r="T38" s="152"/>
      <c r="U38" s="132" t="str">
        <f t="shared" si="1"/>
        <v/>
      </c>
      <c r="V38" s="55"/>
      <c r="W38" s="55"/>
      <c r="X38" s="58"/>
      <c r="Y38" s="226" t="str">
        <f>IF(Q38&lt;&gt;"",IF(Q38&lt;=1.2,IF(O38="A","CR",IF(V38&lt;&gt;"",IF(Parametre_2018!N$4=1,IF(LEFT(V38,1)="1",IF(V38&lt;&gt;"",IF(Parametre_2018!O$4&lt;&gt;"",IF(N38&lt;=Parametre_2018!O$4,IF(V38&lt;&gt;"",IF(Parametre_2018!P$4&lt;&gt;"",IF(O38&lt;=Parametre_2018!P$4,"PLD",""),"PLD"),""),""),IF(V38&lt;&gt;"",IF(Parametre_2018!P$4&lt;&gt;"",IF(O38&lt;=Parametre_2018!P$4,"PLD",""),"PLD"),"")),""),""),IF(V38&lt;&gt;"",IF(Parametre_2018!O$4&lt;&gt;"",IF(N38&lt;=Parametre_2018!O$4,IF(V38&lt;&gt;"",IF(Parametre_2018!P$4&lt;&gt;"",IF(O38&lt;=Parametre_2018!P$4,"PLD",""),"PLD"),""),""),IF(V38&lt;&gt;"",IF(Parametre_2018!P$4&lt;&gt;"",IF(O38&lt;=Parametre_2018!P$4,"PLD",""),"PLD"),"")),"")),"")),IF(V38&lt;&gt;"",IF(Parametre_2018!N$4=1,IF(LEFT(V38,1)="1",IF(V38&lt;&gt;"",IF(Parametre_2018!O$4&lt;&gt;"",IF(N38&lt;=Parametre_2018!O$4,IF(V38&lt;&gt;"",IF(Parametre_2018!P$4&lt;&gt;"",IF(O38&lt;=Parametre_2018!P$4,"PLD",""),"PLD"),""),""),IF(V38&lt;&gt;"",IF(Parametre_2018!P$4&lt;&gt;"",IF(O38&lt;=Parametre_2018!P$4,"PLD",""),"PLD"),"")),""),""),IF(V38&lt;&gt;"",IF(Parametre_2018!O$4&lt;&gt;"",IF(N38&lt;=Parametre_2018!O$4,IF(V38&lt;&gt;"",IF(Parametre_2018!P$4&lt;&gt;"",IF(O38&lt;=Parametre_2018!P$4,"PLD",""),"PLD"),""),""),IF(V38&lt;&gt;"",IF(Parametre_2018!P$4&lt;&gt;"",IF(O38&lt;=Parametre_2018!P$4,"PLD",""),"PLD"),"")),"")),"")),"")</f>
        <v/>
      </c>
      <c r="Z38" s="58"/>
      <c r="AA38" s="227"/>
      <c r="AB38" s="228" t="str">
        <f>IF(Q38&lt;&gt;"",IF(Q38&lt;=Parametre_2018!B$4,IF(Parametre_2018!C$4&lt;&gt;"",IF(N38&lt;=Parametre_2018!C$4,IF(Parametre_2018!D$4&lt;&gt;"",IF(O38&lt;=Parametre_2018!D$4,"MCL",IF(Parametre_2018!I$4&lt;&gt;"",IF(N38&lt;=Parametre_2018!I$4,IF(Parametre_2018!J$4&lt;&gt;"",IF(O38&lt;=Parametre_2018!J$4,"CL",""),"CL"),""),IF(Parametre_2018!J$4&lt;&gt;"",IF(O38&lt;=Parametre_2018!J$4,"CL",""),"CL"))),"MCL"),IF(Parametre_2018!I$4&lt;&gt;"",IF(N38&lt;=Parametre_2018!I$4,IF(Parametre_2018!J$4&lt;&gt;"",IF(O38&lt;=Parametre_2018!J$4,"CL",""),"CL"),""),IF(Parametre_2018!J$4&lt;&gt;"",IF(O38&lt;=Parametre_2018!J$4,"CL",""),"CL"))),IF(Parametre_2018!D$4&lt;&gt;"",IF(O38&lt;=Parametre_2018!D$4,"MCL",IF(Parametre_2018!I$4&lt;&gt;"",IF(N38&lt;=Parametre_2018!I$4,IF(Parametre_2018!J$4&lt;&gt;"",IF(O38&lt;=Parametre_2018!J$4,"CL",""),"CL"),""),IF(Parametre_2018!J$4&lt;&gt;"",IF(O38&lt;=Parametre_2018!J$4,"CL",""),"CL"))),"MCL")),IF(Q38&lt;&gt;"",IF(AND(Q38&gt;Parametre_2018!B$4,Q38&lt;=Parametre_2018!H$4),IF(Parametre_2018!I$4&lt;&gt;"",IF(N38&lt;=Parametre_2018!I$4,IF(Parametre_2018!J$4&lt;&gt;"",IF(O38&lt;=Parametre_2018!J$4,"CL",""),"CL"),""),IF(Parametre_2018!J$4&lt;&gt;"",IF(O38&lt;=Parametre_2018!J$4,"CL",""),"CL")),""),"")),"")</f>
        <v/>
      </c>
      <c r="AC38" s="89"/>
      <c r="AD38" s="74"/>
      <c r="AE38" s="77"/>
      <c r="AF38" s="54"/>
      <c r="AG38" s="56"/>
      <c r="AH38" s="56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19"/>
      <c r="AX38" s="119"/>
      <c r="AY38" s="119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</row>
    <row r="39" spans="1:62" s="53" customFormat="1" ht="41.25" customHeight="1" x14ac:dyDescent="0.25">
      <c r="A39" s="152">
        <v>30</v>
      </c>
      <c r="B39" s="152" t="s">
        <v>62</v>
      </c>
      <c r="C39" s="183" t="s">
        <v>355</v>
      </c>
      <c r="D39" s="183" t="s">
        <v>356</v>
      </c>
      <c r="E39" s="184" t="s">
        <v>50</v>
      </c>
      <c r="F39" s="183" t="s">
        <v>471</v>
      </c>
      <c r="G39" s="195">
        <v>43262</v>
      </c>
      <c r="H39" s="188" t="s">
        <v>487</v>
      </c>
      <c r="I39" s="188" t="s">
        <v>19</v>
      </c>
      <c r="J39" s="154" t="s">
        <v>488</v>
      </c>
      <c r="K39" s="164" t="s">
        <v>216</v>
      </c>
      <c r="L39" s="161" t="s">
        <v>138</v>
      </c>
      <c r="M39" s="163" t="s">
        <v>152</v>
      </c>
      <c r="N39" s="178" t="s">
        <v>59</v>
      </c>
      <c r="O39" s="198" t="s">
        <v>59</v>
      </c>
      <c r="P39" s="200">
        <v>1.64</v>
      </c>
      <c r="Q39" s="202">
        <v>1.69</v>
      </c>
      <c r="R39" s="207"/>
      <c r="S39" s="152"/>
      <c r="T39" s="152"/>
      <c r="U39" s="132" t="str">
        <f t="shared" si="1"/>
        <v/>
      </c>
      <c r="V39" s="152"/>
      <c r="W39" s="152"/>
      <c r="X39" s="152"/>
      <c r="Y39" s="226" t="str">
        <f>IF(Q39&lt;&gt;"",IF(Q39&lt;=1.2,IF(O39="A","CR",IF(V39&lt;&gt;"",IF(Parametre_2018!N$4=1,IF(LEFT(V39,1)="1",IF(V39&lt;&gt;"",IF(Parametre_2018!O$4&lt;&gt;"",IF(N39&lt;=Parametre_2018!O$4,IF(V39&lt;&gt;"",IF(Parametre_2018!P$4&lt;&gt;"",IF(O39&lt;=Parametre_2018!P$4,"PLD",""),"PLD"),""),""),IF(V39&lt;&gt;"",IF(Parametre_2018!P$4&lt;&gt;"",IF(O39&lt;=Parametre_2018!P$4,"PLD",""),"PLD"),"")),""),""),IF(V39&lt;&gt;"",IF(Parametre_2018!O$4&lt;&gt;"",IF(N39&lt;=Parametre_2018!O$4,IF(V39&lt;&gt;"",IF(Parametre_2018!P$4&lt;&gt;"",IF(O39&lt;=Parametre_2018!P$4,"PLD",""),"PLD"),""),""),IF(V39&lt;&gt;"",IF(Parametre_2018!P$4&lt;&gt;"",IF(O39&lt;=Parametre_2018!P$4,"PLD",""),"PLD"),"")),"")),"")),IF(V39&lt;&gt;"",IF(Parametre_2018!N$4=1,IF(LEFT(V39,1)="1",IF(V39&lt;&gt;"",IF(Parametre_2018!O$4&lt;&gt;"",IF(N39&lt;=Parametre_2018!O$4,IF(V39&lt;&gt;"",IF(Parametre_2018!P$4&lt;&gt;"",IF(O39&lt;=Parametre_2018!P$4,"PLD",""),"PLD"),""),""),IF(V39&lt;&gt;"",IF(Parametre_2018!P$4&lt;&gt;"",IF(O39&lt;=Parametre_2018!P$4,"PLD",""),"PLD"),"")),""),""),IF(V39&lt;&gt;"",IF(Parametre_2018!O$4&lt;&gt;"",IF(N39&lt;=Parametre_2018!O$4,IF(V39&lt;&gt;"",IF(Parametre_2018!P$4&lt;&gt;"",IF(O39&lt;=Parametre_2018!P$4,"PLD",""),"PLD"),""),""),IF(V39&lt;&gt;"",IF(Parametre_2018!P$4&lt;&gt;"",IF(O39&lt;=Parametre_2018!P$4,"PLD",""),"PLD"),"")),"")),"")),"")</f>
        <v/>
      </c>
      <c r="Z39" s="58"/>
      <c r="AA39" s="227"/>
      <c r="AB39" s="228" t="str">
        <f>IF(Q39&lt;&gt;"",IF(Q39&lt;=Parametre_2018!B$4,IF(Parametre_2018!C$4&lt;&gt;"",IF(N39&lt;=Parametre_2018!C$4,IF(Parametre_2018!D$4&lt;&gt;"",IF(O39&lt;=Parametre_2018!D$4,"MCL",IF(Parametre_2018!I$4&lt;&gt;"",IF(N39&lt;=Parametre_2018!I$4,IF(Parametre_2018!J$4&lt;&gt;"",IF(O39&lt;=Parametre_2018!J$4,"CL",""),"CL"),""),IF(Parametre_2018!J$4&lt;&gt;"",IF(O39&lt;=Parametre_2018!J$4,"CL",""),"CL"))),"MCL"),IF(Parametre_2018!I$4&lt;&gt;"",IF(N39&lt;=Parametre_2018!I$4,IF(Parametre_2018!J$4&lt;&gt;"",IF(O39&lt;=Parametre_2018!J$4,"CL",""),"CL"),""),IF(Parametre_2018!J$4&lt;&gt;"",IF(O39&lt;=Parametre_2018!J$4,"CL",""),"CL"))),IF(Parametre_2018!D$4&lt;&gt;"",IF(O39&lt;=Parametre_2018!D$4,"MCL",IF(Parametre_2018!I$4&lt;&gt;"",IF(N39&lt;=Parametre_2018!I$4,IF(Parametre_2018!J$4&lt;&gt;"",IF(O39&lt;=Parametre_2018!J$4,"CL",""),"CL"),""),IF(Parametre_2018!J$4&lt;&gt;"",IF(O39&lt;=Parametre_2018!J$4,"CL",""),"CL"))),"MCL")),IF(Q39&lt;&gt;"",IF(AND(Q39&gt;Parametre_2018!B$4,Q39&lt;=Parametre_2018!H$4),IF(Parametre_2018!I$4&lt;&gt;"",IF(N39&lt;=Parametre_2018!I$4,IF(Parametre_2018!J$4&lt;&gt;"",IF(O39&lt;=Parametre_2018!J$4,"CL",""),"CL"),""),IF(Parametre_2018!J$4&lt;&gt;"",IF(O39&lt;=Parametre_2018!J$4,"CL",""),"CL")),""),"")),"")</f>
        <v/>
      </c>
      <c r="AC39" s="89"/>
      <c r="AD39" s="74"/>
      <c r="AE39" s="54"/>
      <c r="AF39" s="54"/>
      <c r="AG39" s="56"/>
      <c r="AH39" s="56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119"/>
      <c r="AY39" s="119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</row>
    <row r="40" spans="1:62" s="53" customFormat="1" ht="41.25" customHeight="1" x14ac:dyDescent="0.25">
      <c r="A40" s="152">
        <v>41</v>
      </c>
      <c r="B40" s="152" t="s">
        <v>62</v>
      </c>
      <c r="C40" s="183" t="s">
        <v>371</v>
      </c>
      <c r="D40" s="183" t="s">
        <v>370</v>
      </c>
      <c r="E40" s="184" t="s">
        <v>50</v>
      </c>
      <c r="F40" s="185" t="s">
        <v>470</v>
      </c>
      <c r="G40" s="186">
        <v>43263</v>
      </c>
      <c r="H40" s="190" t="s">
        <v>473</v>
      </c>
      <c r="I40" s="234" t="s">
        <v>18</v>
      </c>
      <c r="J40" s="219" t="s">
        <v>43</v>
      </c>
      <c r="K40" s="164" t="s">
        <v>227</v>
      </c>
      <c r="L40" s="161" t="s">
        <v>144</v>
      </c>
      <c r="M40" s="163" t="s">
        <v>126</v>
      </c>
      <c r="N40" s="179" t="s">
        <v>59</v>
      </c>
      <c r="O40" s="198" t="s">
        <v>59</v>
      </c>
      <c r="P40" s="200">
        <v>1.64</v>
      </c>
      <c r="Q40" s="202">
        <v>1.7</v>
      </c>
      <c r="R40" s="60"/>
      <c r="S40" s="60"/>
      <c r="T40" s="58"/>
      <c r="U40" s="132" t="str">
        <f t="shared" si="1"/>
        <v/>
      </c>
      <c r="V40" s="55"/>
      <c r="W40" s="55"/>
      <c r="X40" s="54"/>
      <c r="Y40" s="226" t="str">
        <f>IF(Q40&lt;&gt;"",IF(Q40&lt;=1.2,IF(O40="A","CR",IF(V40&lt;&gt;"",IF(Parametre_2018!N$4=1,IF(LEFT(V40,1)="1",IF(V40&lt;&gt;"",IF(Parametre_2018!O$4&lt;&gt;"",IF(N40&lt;=Parametre_2018!O$4,IF(V40&lt;&gt;"",IF(Parametre_2018!P$4&lt;&gt;"",IF(O40&lt;=Parametre_2018!P$4,"PLD",""),"PLD"),""),""),IF(V40&lt;&gt;"",IF(Parametre_2018!P$4&lt;&gt;"",IF(O40&lt;=Parametre_2018!P$4,"PLD",""),"PLD"),"")),""),""),IF(V40&lt;&gt;"",IF(Parametre_2018!O$4&lt;&gt;"",IF(N40&lt;=Parametre_2018!O$4,IF(V40&lt;&gt;"",IF(Parametre_2018!P$4&lt;&gt;"",IF(O40&lt;=Parametre_2018!P$4,"PLD",""),"PLD"),""),""),IF(V40&lt;&gt;"",IF(Parametre_2018!P$4&lt;&gt;"",IF(O40&lt;=Parametre_2018!P$4,"PLD",""),"PLD"),"")),"")),"")),IF(V40&lt;&gt;"",IF(Parametre_2018!N$4=1,IF(LEFT(V40,1)="1",IF(V40&lt;&gt;"",IF(Parametre_2018!O$4&lt;&gt;"",IF(N40&lt;=Parametre_2018!O$4,IF(V40&lt;&gt;"",IF(Parametre_2018!P$4&lt;&gt;"",IF(O40&lt;=Parametre_2018!P$4,"PLD",""),"PLD"),""),""),IF(V40&lt;&gt;"",IF(Parametre_2018!P$4&lt;&gt;"",IF(O40&lt;=Parametre_2018!P$4,"PLD",""),"PLD"),"")),""),""),IF(V40&lt;&gt;"",IF(Parametre_2018!O$4&lt;&gt;"",IF(N40&lt;=Parametre_2018!O$4,IF(V40&lt;&gt;"",IF(Parametre_2018!P$4&lt;&gt;"",IF(O40&lt;=Parametre_2018!P$4,"PLD",""),"PLD"),""),""),IF(V40&lt;&gt;"",IF(Parametre_2018!P$4&lt;&gt;"",IF(O40&lt;=Parametre_2018!P$4,"PLD",""),"PLD"),"")),"")),"")),"")</f>
        <v/>
      </c>
      <c r="Z40" s="58"/>
      <c r="AA40" s="227"/>
      <c r="AB40" s="228" t="str">
        <f>IF(Q40&lt;&gt;"",IF(Q40&lt;=Parametre_2018!B$4,IF(Parametre_2018!C$4&lt;&gt;"",IF(N40&lt;=Parametre_2018!C$4,IF(Parametre_2018!D$4&lt;&gt;"",IF(O40&lt;=Parametre_2018!D$4,"MCL",IF(Parametre_2018!I$4&lt;&gt;"",IF(N40&lt;=Parametre_2018!I$4,IF(Parametre_2018!J$4&lt;&gt;"",IF(O40&lt;=Parametre_2018!J$4,"CL",""),"CL"),""),IF(Parametre_2018!J$4&lt;&gt;"",IF(O40&lt;=Parametre_2018!J$4,"CL",""),"CL"))),"MCL"),IF(Parametre_2018!I$4&lt;&gt;"",IF(N40&lt;=Parametre_2018!I$4,IF(Parametre_2018!J$4&lt;&gt;"",IF(O40&lt;=Parametre_2018!J$4,"CL",""),"CL"),""),IF(Parametre_2018!J$4&lt;&gt;"",IF(O40&lt;=Parametre_2018!J$4,"CL",""),"CL"))),IF(Parametre_2018!D$4&lt;&gt;"",IF(O40&lt;=Parametre_2018!D$4,"MCL",IF(Parametre_2018!I$4&lt;&gt;"",IF(N40&lt;=Parametre_2018!I$4,IF(Parametre_2018!J$4&lt;&gt;"",IF(O40&lt;=Parametre_2018!J$4,"CL",""),"CL"),""),IF(Parametre_2018!J$4&lt;&gt;"",IF(O40&lt;=Parametre_2018!J$4,"CL",""),"CL"))),"MCL")),IF(Q40&lt;&gt;"",IF(AND(Q40&gt;Parametre_2018!B$4,Q40&lt;=Parametre_2018!H$4),IF(Parametre_2018!I$4&lt;&gt;"",IF(N40&lt;=Parametre_2018!I$4,IF(Parametre_2018!J$4&lt;&gt;"",IF(O40&lt;=Parametre_2018!J$4,"CL",""),"CL"),""),IF(Parametre_2018!J$4&lt;&gt;"",IF(O40&lt;=Parametre_2018!J$4,"CL",""),"CL")),""),"")),"")</f>
        <v/>
      </c>
      <c r="AC40" s="89"/>
      <c r="AD40" s="74"/>
      <c r="AE40" s="54"/>
      <c r="AF40" s="54"/>
      <c r="AG40" s="56"/>
      <c r="AH40" s="56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19"/>
      <c r="AX40" s="119"/>
      <c r="AY40" s="119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</row>
    <row r="41" spans="1:62" s="53" customFormat="1" ht="41.25" customHeight="1" x14ac:dyDescent="0.25">
      <c r="A41" s="152">
        <v>32</v>
      </c>
      <c r="B41" s="152" t="s">
        <v>62</v>
      </c>
      <c r="C41" s="183" t="s">
        <v>358</v>
      </c>
      <c r="D41" s="183" t="s">
        <v>314</v>
      </c>
      <c r="E41" s="184" t="s">
        <v>50</v>
      </c>
      <c r="F41" s="185" t="s">
        <v>471</v>
      </c>
      <c r="G41" s="186">
        <v>43263</v>
      </c>
      <c r="H41" s="187" t="s">
        <v>481</v>
      </c>
      <c r="I41" s="187" t="s">
        <v>482</v>
      </c>
      <c r="J41" s="193" t="s">
        <v>483</v>
      </c>
      <c r="K41" s="164" t="s">
        <v>218</v>
      </c>
      <c r="L41" s="161" t="s">
        <v>124</v>
      </c>
      <c r="M41" s="163" t="s">
        <v>125</v>
      </c>
      <c r="N41" s="178" t="s">
        <v>60</v>
      </c>
      <c r="O41" s="198" t="s">
        <v>62</v>
      </c>
      <c r="P41" s="200">
        <v>1.86</v>
      </c>
      <c r="Q41" s="202">
        <v>1.73</v>
      </c>
      <c r="R41" s="207"/>
      <c r="S41" s="204" t="s">
        <v>62</v>
      </c>
      <c r="T41" s="152"/>
      <c r="U41" s="132" t="str">
        <f t="shared" si="1"/>
        <v/>
      </c>
      <c r="V41" s="152"/>
      <c r="W41" s="152"/>
      <c r="X41" s="204" t="s">
        <v>62</v>
      </c>
      <c r="Y41" s="226" t="str">
        <f>IF(Q41&lt;&gt;"",IF(Q41&lt;=1.2,IF(O41="A","CR",IF(V41&lt;&gt;"",IF(Parametre_2018!N$4=1,IF(LEFT(V41,1)="1",IF(V41&lt;&gt;"",IF(Parametre_2018!O$4&lt;&gt;"",IF(N41&lt;=Parametre_2018!O$4,IF(V41&lt;&gt;"",IF(Parametre_2018!P$4&lt;&gt;"",IF(O41&lt;=Parametre_2018!P$4,"PLD",""),"PLD"),""),""),IF(V41&lt;&gt;"",IF(Parametre_2018!P$4&lt;&gt;"",IF(O41&lt;=Parametre_2018!P$4,"PLD",""),"PLD"),"")),""),""),IF(V41&lt;&gt;"",IF(Parametre_2018!O$4&lt;&gt;"",IF(N41&lt;=Parametre_2018!O$4,IF(V41&lt;&gt;"",IF(Parametre_2018!P$4&lt;&gt;"",IF(O41&lt;=Parametre_2018!P$4,"PLD",""),"PLD"),""),""),IF(V41&lt;&gt;"",IF(Parametre_2018!P$4&lt;&gt;"",IF(O41&lt;=Parametre_2018!P$4,"PLD",""),"PLD"),"")),"")),"")),IF(V41&lt;&gt;"",IF(Parametre_2018!N$4=1,IF(LEFT(V41,1)="1",IF(V41&lt;&gt;"",IF(Parametre_2018!O$4&lt;&gt;"",IF(N41&lt;=Parametre_2018!O$4,IF(V41&lt;&gt;"",IF(Parametre_2018!P$4&lt;&gt;"",IF(O41&lt;=Parametre_2018!P$4,"PLD",""),"PLD"),""),""),IF(V41&lt;&gt;"",IF(Parametre_2018!P$4&lt;&gt;"",IF(O41&lt;=Parametre_2018!P$4,"PLD",""),"PLD"),"")),""),""),IF(V41&lt;&gt;"",IF(Parametre_2018!O$4&lt;&gt;"",IF(N41&lt;=Parametre_2018!O$4,IF(V41&lt;&gt;"",IF(Parametre_2018!P$4&lt;&gt;"",IF(O41&lt;=Parametre_2018!P$4,"PLD",""),"PLD"),""),""),IF(V41&lt;&gt;"",IF(Parametre_2018!P$4&lt;&gt;"",IF(O41&lt;=Parametre_2018!P$4,"PLD",""),"PLD"),"")),"")),"")),"")</f>
        <v/>
      </c>
      <c r="Z41" s="58"/>
      <c r="AA41" s="227"/>
      <c r="AB41" s="228" t="str">
        <f>IF(Q41&lt;&gt;"",IF(Q41&lt;=Parametre_2018!B$4,IF(Parametre_2018!C$4&lt;&gt;"",IF(N41&lt;=Parametre_2018!C$4,IF(Parametre_2018!D$4&lt;&gt;"",IF(O41&lt;=Parametre_2018!D$4,"MCL",IF(Parametre_2018!I$4&lt;&gt;"",IF(N41&lt;=Parametre_2018!I$4,IF(Parametre_2018!J$4&lt;&gt;"",IF(O41&lt;=Parametre_2018!J$4,"CL",""),"CL"),""),IF(Parametre_2018!J$4&lt;&gt;"",IF(O41&lt;=Parametre_2018!J$4,"CL",""),"CL"))),"MCL"),IF(Parametre_2018!I$4&lt;&gt;"",IF(N41&lt;=Parametre_2018!I$4,IF(Parametre_2018!J$4&lt;&gt;"",IF(O41&lt;=Parametre_2018!J$4,"CL",""),"CL"),""),IF(Parametre_2018!J$4&lt;&gt;"",IF(O41&lt;=Parametre_2018!J$4,"CL",""),"CL"))),IF(Parametre_2018!D$4&lt;&gt;"",IF(O41&lt;=Parametre_2018!D$4,"MCL",IF(Parametre_2018!I$4&lt;&gt;"",IF(N41&lt;=Parametre_2018!I$4,IF(Parametre_2018!J$4&lt;&gt;"",IF(O41&lt;=Parametre_2018!J$4,"CL",""),"CL"),""),IF(Parametre_2018!J$4&lt;&gt;"",IF(O41&lt;=Parametre_2018!J$4,"CL",""),"CL"))),"MCL")),IF(Q41&lt;&gt;"",IF(AND(Q41&gt;Parametre_2018!B$4,Q41&lt;=Parametre_2018!H$4),IF(Parametre_2018!I$4&lt;&gt;"",IF(N41&lt;=Parametre_2018!I$4,IF(Parametre_2018!J$4&lt;&gt;"",IF(O41&lt;=Parametre_2018!J$4,"CL",""),"CL"),""),IF(Parametre_2018!J$4&lt;&gt;"",IF(O41&lt;=Parametre_2018!J$4,"CL",""),"CL")),""),"")),"")</f>
        <v/>
      </c>
      <c r="AC41" s="89"/>
      <c r="AD41" s="74"/>
      <c r="AE41" s="54"/>
      <c r="AF41" s="54"/>
      <c r="AG41" s="61"/>
      <c r="AH41" s="61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19"/>
      <c r="AX41" s="119"/>
      <c r="AY41" s="119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</row>
    <row r="42" spans="1:62" s="53" customFormat="1" ht="41.25" customHeight="1" x14ac:dyDescent="0.25">
      <c r="A42" s="152">
        <v>45</v>
      </c>
      <c r="B42" s="152" t="s">
        <v>62</v>
      </c>
      <c r="C42" s="183" t="s">
        <v>377</v>
      </c>
      <c r="D42" s="183" t="s">
        <v>378</v>
      </c>
      <c r="E42" s="184" t="s">
        <v>50</v>
      </c>
      <c r="F42" s="185" t="s">
        <v>470</v>
      </c>
      <c r="G42" s="195">
        <v>43262</v>
      </c>
      <c r="H42" s="188" t="s">
        <v>493</v>
      </c>
      <c r="I42" s="234" t="s">
        <v>478</v>
      </c>
      <c r="J42" s="219" t="s">
        <v>494</v>
      </c>
      <c r="K42" s="164" t="s">
        <v>231</v>
      </c>
      <c r="L42" s="161" t="s">
        <v>121</v>
      </c>
      <c r="M42" s="163" t="s">
        <v>184</v>
      </c>
      <c r="N42" s="62" t="s">
        <v>60</v>
      </c>
      <c r="O42" s="198" t="s">
        <v>60</v>
      </c>
      <c r="P42" s="200">
        <v>1.78</v>
      </c>
      <c r="Q42" s="202">
        <v>1.73</v>
      </c>
      <c r="R42" s="59"/>
      <c r="S42" s="60"/>
      <c r="T42" s="55"/>
      <c r="U42" s="132" t="str">
        <f t="shared" si="1"/>
        <v/>
      </c>
      <c r="V42" s="55"/>
      <c r="W42" s="55"/>
      <c r="X42" s="54"/>
      <c r="Y42" s="226" t="str">
        <f>IF(Q42&lt;&gt;"",IF(Q42&lt;=1.2,IF(O42="A","CR",IF(V42&lt;&gt;"",IF(Parametre_2018!N$4=1,IF(LEFT(V42,1)="1",IF(V42&lt;&gt;"",IF(Parametre_2018!O$4&lt;&gt;"",IF(N42&lt;=Parametre_2018!O$4,IF(V42&lt;&gt;"",IF(Parametre_2018!P$4&lt;&gt;"",IF(O42&lt;=Parametre_2018!P$4,"PLD",""),"PLD"),""),""),IF(V42&lt;&gt;"",IF(Parametre_2018!P$4&lt;&gt;"",IF(O42&lt;=Parametre_2018!P$4,"PLD",""),"PLD"),"")),""),""),IF(V42&lt;&gt;"",IF(Parametre_2018!O$4&lt;&gt;"",IF(N42&lt;=Parametre_2018!O$4,IF(V42&lt;&gt;"",IF(Parametre_2018!P$4&lt;&gt;"",IF(O42&lt;=Parametre_2018!P$4,"PLD",""),"PLD"),""),""),IF(V42&lt;&gt;"",IF(Parametre_2018!P$4&lt;&gt;"",IF(O42&lt;=Parametre_2018!P$4,"PLD",""),"PLD"),"")),"")),"")),IF(V42&lt;&gt;"",IF(Parametre_2018!N$4=1,IF(LEFT(V42,1)="1",IF(V42&lt;&gt;"",IF(Parametre_2018!O$4&lt;&gt;"",IF(N42&lt;=Parametre_2018!O$4,IF(V42&lt;&gt;"",IF(Parametre_2018!P$4&lt;&gt;"",IF(O42&lt;=Parametre_2018!P$4,"PLD",""),"PLD"),""),""),IF(V42&lt;&gt;"",IF(Parametre_2018!P$4&lt;&gt;"",IF(O42&lt;=Parametre_2018!P$4,"PLD",""),"PLD"),"")),""),""),IF(V42&lt;&gt;"",IF(Parametre_2018!O$4&lt;&gt;"",IF(N42&lt;=Parametre_2018!O$4,IF(V42&lt;&gt;"",IF(Parametre_2018!P$4&lt;&gt;"",IF(O42&lt;=Parametre_2018!P$4,"PLD",""),"PLD"),""),""),IF(V42&lt;&gt;"",IF(Parametre_2018!P$4&lt;&gt;"",IF(O42&lt;=Parametre_2018!P$4,"PLD",""),"PLD"),"")),"")),"")),"")</f>
        <v/>
      </c>
      <c r="Z42" s="58"/>
      <c r="AA42" s="227"/>
      <c r="AB42" s="228" t="str">
        <f>IF(Q42&lt;&gt;"",IF(Q42&lt;=Parametre_2018!B$4,IF(Parametre_2018!C$4&lt;&gt;"",IF(N42&lt;=Parametre_2018!C$4,IF(Parametre_2018!D$4&lt;&gt;"",IF(O42&lt;=Parametre_2018!D$4,"MCL",IF(Parametre_2018!I$4&lt;&gt;"",IF(N42&lt;=Parametre_2018!I$4,IF(Parametre_2018!J$4&lt;&gt;"",IF(O42&lt;=Parametre_2018!J$4,"CL",""),"CL"),""),IF(Parametre_2018!J$4&lt;&gt;"",IF(O42&lt;=Parametre_2018!J$4,"CL",""),"CL"))),"MCL"),IF(Parametre_2018!I$4&lt;&gt;"",IF(N42&lt;=Parametre_2018!I$4,IF(Parametre_2018!J$4&lt;&gt;"",IF(O42&lt;=Parametre_2018!J$4,"CL",""),"CL"),""),IF(Parametre_2018!J$4&lt;&gt;"",IF(O42&lt;=Parametre_2018!J$4,"CL",""),"CL"))),IF(Parametre_2018!D$4&lt;&gt;"",IF(O42&lt;=Parametre_2018!D$4,"MCL",IF(Parametre_2018!I$4&lt;&gt;"",IF(N42&lt;=Parametre_2018!I$4,IF(Parametre_2018!J$4&lt;&gt;"",IF(O42&lt;=Parametre_2018!J$4,"CL",""),"CL"),""),IF(Parametre_2018!J$4&lt;&gt;"",IF(O42&lt;=Parametre_2018!J$4,"CL",""),"CL"))),"MCL")),IF(Q42&lt;&gt;"",IF(AND(Q42&gt;Parametre_2018!B$4,Q42&lt;=Parametre_2018!H$4),IF(Parametre_2018!I$4&lt;&gt;"",IF(N42&lt;=Parametre_2018!I$4,IF(Parametre_2018!J$4&lt;&gt;"",IF(O42&lt;=Parametre_2018!J$4,"CL",""),"CL"),""),IF(Parametre_2018!J$4&lt;&gt;"",IF(O42&lt;=Parametre_2018!J$4,"CL",""),"CL")),""),"")),"")</f>
        <v/>
      </c>
      <c r="AC42" s="89"/>
      <c r="AD42" s="74"/>
      <c r="AE42" s="54"/>
      <c r="AF42" s="54"/>
      <c r="AG42" s="56"/>
      <c r="AH42" s="56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19"/>
      <c r="AX42" s="119"/>
      <c r="AY42" s="119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</row>
    <row r="43" spans="1:62" s="53" customFormat="1" ht="41.25" customHeight="1" x14ac:dyDescent="0.25">
      <c r="A43" s="152">
        <v>66</v>
      </c>
      <c r="B43" s="152" t="s">
        <v>62</v>
      </c>
      <c r="C43" s="183" t="s">
        <v>405</v>
      </c>
      <c r="D43" s="183" t="s">
        <v>370</v>
      </c>
      <c r="E43" s="184" t="s">
        <v>50</v>
      </c>
      <c r="F43" s="185" t="s">
        <v>470</v>
      </c>
      <c r="G43" s="186">
        <v>43263</v>
      </c>
      <c r="H43" s="187" t="s">
        <v>484</v>
      </c>
      <c r="I43" s="192" t="s">
        <v>485</v>
      </c>
      <c r="J43" s="172" t="s">
        <v>486</v>
      </c>
      <c r="K43" s="164" t="s">
        <v>252</v>
      </c>
      <c r="L43" s="161" t="s">
        <v>143</v>
      </c>
      <c r="M43" s="163" t="s">
        <v>182</v>
      </c>
      <c r="N43" s="181" t="s">
        <v>60</v>
      </c>
      <c r="O43" s="198" t="s">
        <v>62</v>
      </c>
      <c r="P43" s="200">
        <v>1.9</v>
      </c>
      <c r="Q43" s="202">
        <v>1.73</v>
      </c>
      <c r="R43" s="214" t="s">
        <v>95</v>
      </c>
      <c r="S43" s="169"/>
      <c r="T43" s="169"/>
      <c r="U43" s="132" t="str">
        <f t="shared" si="1"/>
        <v/>
      </c>
      <c r="V43" s="220"/>
      <c r="W43" s="220" t="s">
        <v>524</v>
      </c>
      <c r="X43" s="169"/>
      <c r="Y43" s="226" t="str">
        <f>IF(Q43&lt;&gt;"",IF(Q43&lt;=1.2,IF(O43="A","CR",IF(V43&lt;&gt;"",IF(Parametre_2018!N$4=1,IF(LEFT(V43,1)="1",IF(V43&lt;&gt;"",IF(Parametre_2018!O$4&lt;&gt;"",IF(N43&lt;=Parametre_2018!O$4,IF(V43&lt;&gt;"",IF(Parametre_2018!P$4&lt;&gt;"",IF(O43&lt;=Parametre_2018!P$4,"PLD",""),"PLD"),""),""),IF(V43&lt;&gt;"",IF(Parametre_2018!P$4&lt;&gt;"",IF(O43&lt;=Parametre_2018!P$4,"PLD",""),"PLD"),"")),""),""),IF(V43&lt;&gt;"",IF(Parametre_2018!O$4&lt;&gt;"",IF(N43&lt;=Parametre_2018!O$4,IF(V43&lt;&gt;"",IF(Parametre_2018!P$4&lt;&gt;"",IF(O43&lt;=Parametre_2018!P$4,"PLD",""),"PLD"),""),""),IF(V43&lt;&gt;"",IF(Parametre_2018!P$4&lt;&gt;"",IF(O43&lt;=Parametre_2018!P$4,"PLD",""),"PLD"),"")),"")),"")),IF(V43&lt;&gt;"",IF(Parametre_2018!N$4=1,IF(LEFT(V43,1)="1",IF(V43&lt;&gt;"",IF(Parametre_2018!O$4&lt;&gt;"",IF(N43&lt;=Parametre_2018!O$4,IF(V43&lt;&gt;"",IF(Parametre_2018!P$4&lt;&gt;"",IF(O43&lt;=Parametre_2018!P$4,"PLD",""),"PLD"),""),""),IF(V43&lt;&gt;"",IF(Parametre_2018!P$4&lt;&gt;"",IF(O43&lt;=Parametre_2018!P$4,"PLD",""),"PLD"),"")),""),""),IF(V43&lt;&gt;"",IF(Parametre_2018!O$4&lt;&gt;"",IF(N43&lt;=Parametre_2018!O$4,IF(V43&lt;&gt;"",IF(Parametre_2018!P$4&lt;&gt;"",IF(O43&lt;=Parametre_2018!P$4,"PLD",""),"PLD"),""),""),IF(V43&lt;&gt;"",IF(Parametre_2018!P$4&lt;&gt;"",IF(O43&lt;=Parametre_2018!P$4,"PLD",""),"PLD"),"")),"")),"")),"")</f>
        <v/>
      </c>
      <c r="Z43" s="220"/>
      <c r="AA43" s="227"/>
      <c r="AB43" s="228" t="str">
        <f>IF(Q43&lt;&gt;"",IF(Q43&lt;=Parametre_2018!B$4,IF(Parametre_2018!C$4&lt;&gt;"",IF(N43&lt;=Parametre_2018!C$4,IF(Parametre_2018!D$4&lt;&gt;"",IF(O43&lt;=Parametre_2018!D$4,"MCL",IF(Parametre_2018!I$4&lt;&gt;"",IF(N43&lt;=Parametre_2018!I$4,IF(Parametre_2018!J$4&lt;&gt;"",IF(O43&lt;=Parametre_2018!J$4,"CL",""),"CL"),""),IF(Parametre_2018!J$4&lt;&gt;"",IF(O43&lt;=Parametre_2018!J$4,"CL",""),"CL"))),"MCL"),IF(Parametre_2018!I$4&lt;&gt;"",IF(N43&lt;=Parametre_2018!I$4,IF(Parametre_2018!J$4&lt;&gt;"",IF(O43&lt;=Parametre_2018!J$4,"CL",""),"CL"),""),IF(Parametre_2018!J$4&lt;&gt;"",IF(O43&lt;=Parametre_2018!J$4,"CL",""),"CL"))),IF(Parametre_2018!D$4&lt;&gt;"",IF(O43&lt;=Parametre_2018!D$4,"MCL",IF(Parametre_2018!I$4&lt;&gt;"",IF(N43&lt;=Parametre_2018!I$4,IF(Parametre_2018!J$4&lt;&gt;"",IF(O43&lt;=Parametre_2018!J$4,"CL",""),"CL"),""),IF(Parametre_2018!J$4&lt;&gt;"",IF(O43&lt;=Parametre_2018!J$4,"CL",""),"CL"))),"MCL")),IF(Q43&lt;&gt;"",IF(AND(Q43&gt;Parametre_2018!B$4,Q43&lt;=Parametre_2018!H$4),IF(Parametre_2018!I$4&lt;&gt;"",IF(N43&lt;=Parametre_2018!I$4,IF(Parametre_2018!J$4&lt;&gt;"",IF(O43&lt;=Parametre_2018!J$4,"CL",""),"CL"),""),IF(Parametre_2018!J$4&lt;&gt;"",IF(O43&lt;=Parametre_2018!J$4,"CL",""),"CL")),""),"")),"")</f>
        <v/>
      </c>
      <c r="AC43" s="169"/>
      <c r="AD43" s="74"/>
      <c r="AE43" s="169"/>
      <c r="AF43" s="169"/>
      <c r="AG43" s="56"/>
      <c r="AH43" s="56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19"/>
      <c r="AX43" s="119"/>
      <c r="AY43" s="119"/>
      <c r="AZ43" s="56"/>
      <c r="BA43" s="56"/>
      <c r="BB43" s="56"/>
      <c r="BC43" s="56"/>
      <c r="BD43" s="56"/>
      <c r="BE43" s="56"/>
      <c r="BF43" s="56"/>
    </row>
    <row r="44" spans="1:62" s="53" customFormat="1" ht="41.25" customHeight="1" x14ac:dyDescent="0.25">
      <c r="A44" s="152">
        <v>12</v>
      </c>
      <c r="B44" s="152" t="s">
        <v>62</v>
      </c>
      <c r="C44" s="183" t="s">
        <v>324</v>
      </c>
      <c r="D44" s="183" t="s">
        <v>325</v>
      </c>
      <c r="E44" s="184" t="s">
        <v>50</v>
      </c>
      <c r="F44" s="185" t="s">
        <v>470</v>
      </c>
      <c r="G44" s="195">
        <v>43262</v>
      </c>
      <c r="H44" s="187" t="s">
        <v>495</v>
      </c>
      <c r="I44" s="187" t="s">
        <v>496</v>
      </c>
      <c r="J44" s="193" t="s">
        <v>497</v>
      </c>
      <c r="K44" s="164" t="s">
        <v>198</v>
      </c>
      <c r="L44" s="161" t="s">
        <v>126</v>
      </c>
      <c r="M44" s="163" t="s">
        <v>175</v>
      </c>
      <c r="N44" s="177" t="s">
        <v>60</v>
      </c>
      <c r="O44" s="198" t="s">
        <v>60</v>
      </c>
      <c r="P44" s="200">
        <v>1.8</v>
      </c>
      <c r="Q44" s="202">
        <v>1.75</v>
      </c>
      <c r="R44" s="152"/>
      <c r="S44" s="204" t="s">
        <v>62</v>
      </c>
      <c r="T44" s="152"/>
      <c r="U44" s="132" t="str">
        <f t="shared" si="1"/>
        <v/>
      </c>
      <c r="V44" s="55"/>
      <c r="W44" s="55"/>
      <c r="X44" s="58" t="s">
        <v>62</v>
      </c>
      <c r="Y44" s="226" t="str">
        <f>IF(Q44&lt;&gt;"",IF(Q44&lt;=1.2,IF(O44="A","CR",IF(V44&lt;&gt;"",IF(Parametre_2018!N$4=1,IF(LEFT(V44,1)="1",IF(V44&lt;&gt;"",IF(Parametre_2018!O$4&lt;&gt;"",IF(N44&lt;=Parametre_2018!O$4,IF(V44&lt;&gt;"",IF(Parametre_2018!P$4&lt;&gt;"",IF(O44&lt;=Parametre_2018!P$4,"PLD",""),"PLD"),""),""),IF(V44&lt;&gt;"",IF(Parametre_2018!P$4&lt;&gt;"",IF(O44&lt;=Parametre_2018!P$4,"PLD",""),"PLD"),"")),""),""),IF(V44&lt;&gt;"",IF(Parametre_2018!O$4&lt;&gt;"",IF(N44&lt;=Parametre_2018!O$4,IF(V44&lt;&gt;"",IF(Parametre_2018!P$4&lt;&gt;"",IF(O44&lt;=Parametre_2018!P$4,"PLD",""),"PLD"),""),""),IF(V44&lt;&gt;"",IF(Parametre_2018!P$4&lt;&gt;"",IF(O44&lt;=Parametre_2018!P$4,"PLD",""),"PLD"),"")),"")),"")),IF(V44&lt;&gt;"",IF(Parametre_2018!N$4=1,IF(LEFT(V44,1)="1",IF(V44&lt;&gt;"",IF(Parametre_2018!O$4&lt;&gt;"",IF(N44&lt;=Parametre_2018!O$4,IF(V44&lt;&gt;"",IF(Parametre_2018!P$4&lt;&gt;"",IF(O44&lt;=Parametre_2018!P$4,"PLD",""),"PLD"),""),""),IF(V44&lt;&gt;"",IF(Parametre_2018!P$4&lt;&gt;"",IF(O44&lt;=Parametre_2018!P$4,"PLD",""),"PLD"),"")),""),""),IF(V44&lt;&gt;"",IF(Parametre_2018!O$4&lt;&gt;"",IF(N44&lt;=Parametre_2018!O$4,IF(V44&lt;&gt;"",IF(Parametre_2018!P$4&lt;&gt;"",IF(O44&lt;=Parametre_2018!P$4,"PLD",""),"PLD"),""),""),IF(V44&lt;&gt;"",IF(Parametre_2018!P$4&lt;&gt;"",IF(O44&lt;=Parametre_2018!P$4,"PLD",""),"PLD"),"")),"")),"")),"")</f>
        <v/>
      </c>
      <c r="Z44" s="58"/>
      <c r="AA44" s="227"/>
      <c r="AB44" s="228" t="str">
        <f>IF(Q44&lt;&gt;"",IF(Q44&lt;=Parametre_2018!B$4,IF(Parametre_2018!C$4&lt;&gt;"",IF(N44&lt;=Parametre_2018!C$4,IF(Parametre_2018!D$4&lt;&gt;"",IF(O44&lt;=Parametre_2018!D$4,"MCL",IF(Parametre_2018!I$4&lt;&gt;"",IF(N44&lt;=Parametre_2018!I$4,IF(Parametre_2018!J$4&lt;&gt;"",IF(O44&lt;=Parametre_2018!J$4,"CL",""),"CL"),""),IF(Parametre_2018!J$4&lt;&gt;"",IF(O44&lt;=Parametre_2018!J$4,"CL",""),"CL"))),"MCL"),IF(Parametre_2018!I$4&lt;&gt;"",IF(N44&lt;=Parametre_2018!I$4,IF(Parametre_2018!J$4&lt;&gt;"",IF(O44&lt;=Parametre_2018!J$4,"CL",""),"CL"),""),IF(Parametre_2018!J$4&lt;&gt;"",IF(O44&lt;=Parametre_2018!J$4,"CL",""),"CL"))),IF(Parametre_2018!D$4&lt;&gt;"",IF(O44&lt;=Parametre_2018!D$4,"MCL",IF(Parametre_2018!I$4&lt;&gt;"",IF(N44&lt;=Parametre_2018!I$4,IF(Parametre_2018!J$4&lt;&gt;"",IF(O44&lt;=Parametre_2018!J$4,"CL",""),"CL"),""),IF(Parametre_2018!J$4&lt;&gt;"",IF(O44&lt;=Parametre_2018!J$4,"CL",""),"CL"))),"MCL")),IF(Q44&lt;&gt;"",IF(AND(Q44&gt;Parametre_2018!B$4,Q44&lt;=Parametre_2018!H$4),IF(Parametre_2018!I$4&lt;&gt;"",IF(N44&lt;=Parametre_2018!I$4,IF(Parametre_2018!J$4&lt;&gt;"",IF(O44&lt;=Parametre_2018!J$4,"CL",""),"CL"),""),IF(Parametre_2018!J$4&lt;&gt;"",IF(O44&lt;=Parametre_2018!J$4,"CL",""),"CL")),""),"")),"")</f>
        <v/>
      </c>
      <c r="AC44" s="89"/>
      <c r="AD44" s="74"/>
      <c r="AE44" s="77"/>
      <c r="AF44" s="54"/>
      <c r="AG44" s="56"/>
      <c r="AH44" s="56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  <c r="AU44" s="119"/>
      <c r="AV44" s="119"/>
      <c r="AW44" s="119"/>
      <c r="AX44" s="119"/>
      <c r="AY44" s="119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</row>
    <row r="45" spans="1:62" s="53" customFormat="1" ht="41.25" customHeight="1" x14ac:dyDescent="0.25">
      <c r="A45" s="152">
        <v>20</v>
      </c>
      <c r="B45" s="152" t="s">
        <v>62</v>
      </c>
      <c r="C45" s="183" t="s">
        <v>338</v>
      </c>
      <c r="D45" s="183" t="s">
        <v>339</v>
      </c>
      <c r="E45" s="184" t="s">
        <v>50</v>
      </c>
      <c r="F45" s="185" t="s">
        <v>471</v>
      </c>
      <c r="G45" s="195">
        <v>43262</v>
      </c>
      <c r="H45" s="188" t="s">
        <v>487</v>
      </c>
      <c r="I45" s="188" t="s">
        <v>19</v>
      </c>
      <c r="J45" s="154" t="s">
        <v>488</v>
      </c>
      <c r="K45" s="164" t="s">
        <v>206</v>
      </c>
      <c r="L45" s="161" t="s">
        <v>132</v>
      </c>
      <c r="M45" s="163" t="s">
        <v>150</v>
      </c>
      <c r="N45" s="178" t="s">
        <v>60</v>
      </c>
      <c r="O45" s="198" t="s">
        <v>60</v>
      </c>
      <c r="P45" s="200">
        <v>1.77</v>
      </c>
      <c r="Q45" s="202">
        <v>1.75</v>
      </c>
      <c r="R45" s="207"/>
      <c r="S45" s="152"/>
      <c r="T45" s="152"/>
      <c r="U45" s="132" t="str">
        <f t="shared" si="1"/>
        <v/>
      </c>
      <c r="V45" s="55"/>
      <c r="W45" s="55"/>
      <c r="X45" s="58" t="s">
        <v>62</v>
      </c>
      <c r="Y45" s="226" t="str">
        <f>IF(Q45&lt;&gt;"",IF(Q45&lt;=1.2,IF(O45="A","CR",IF(V45&lt;&gt;"",IF(Parametre_2018!N$4=1,IF(LEFT(V45,1)="1",IF(V45&lt;&gt;"",IF(Parametre_2018!O$4&lt;&gt;"",IF(N45&lt;=Parametre_2018!O$4,IF(V45&lt;&gt;"",IF(Parametre_2018!P$4&lt;&gt;"",IF(O45&lt;=Parametre_2018!P$4,"PLD",""),"PLD"),""),""),IF(V45&lt;&gt;"",IF(Parametre_2018!P$4&lt;&gt;"",IF(O45&lt;=Parametre_2018!P$4,"PLD",""),"PLD"),"")),""),""),IF(V45&lt;&gt;"",IF(Parametre_2018!O$4&lt;&gt;"",IF(N45&lt;=Parametre_2018!O$4,IF(V45&lt;&gt;"",IF(Parametre_2018!P$4&lt;&gt;"",IF(O45&lt;=Parametre_2018!P$4,"PLD",""),"PLD"),""),""),IF(V45&lt;&gt;"",IF(Parametre_2018!P$4&lt;&gt;"",IF(O45&lt;=Parametre_2018!P$4,"PLD",""),"PLD"),"")),"")),"")),IF(V45&lt;&gt;"",IF(Parametre_2018!N$4=1,IF(LEFT(V45,1)="1",IF(V45&lt;&gt;"",IF(Parametre_2018!O$4&lt;&gt;"",IF(N45&lt;=Parametre_2018!O$4,IF(V45&lt;&gt;"",IF(Parametre_2018!P$4&lt;&gt;"",IF(O45&lt;=Parametre_2018!P$4,"PLD",""),"PLD"),""),""),IF(V45&lt;&gt;"",IF(Parametre_2018!P$4&lt;&gt;"",IF(O45&lt;=Parametre_2018!P$4,"PLD",""),"PLD"),"")),""),""),IF(V45&lt;&gt;"",IF(Parametre_2018!O$4&lt;&gt;"",IF(N45&lt;=Parametre_2018!O$4,IF(V45&lt;&gt;"",IF(Parametre_2018!P$4&lt;&gt;"",IF(O45&lt;=Parametre_2018!P$4,"PLD",""),"PLD"),""),""),IF(V45&lt;&gt;"",IF(Parametre_2018!P$4&lt;&gt;"",IF(O45&lt;=Parametre_2018!P$4,"PLD",""),"PLD"),"")),"")),"")),"")</f>
        <v/>
      </c>
      <c r="Z45" s="58"/>
      <c r="AA45" s="227"/>
      <c r="AB45" s="228" t="str">
        <f>IF(Q45&lt;&gt;"",IF(Q45&lt;=Parametre_2018!B$4,IF(Parametre_2018!C$4&lt;&gt;"",IF(N45&lt;=Parametre_2018!C$4,IF(Parametre_2018!D$4&lt;&gt;"",IF(O45&lt;=Parametre_2018!D$4,"MCL",IF(Parametre_2018!I$4&lt;&gt;"",IF(N45&lt;=Parametre_2018!I$4,IF(Parametre_2018!J$4&lt;&gt;"",IF(O45&lt;=Parametre_2018!J$4,"CL",""),"CL"),""),IF(Parametre_2018!J$4&lt;&gt;"",IF(O45&lt;=Parametre_2018!J$4,"CL",""),"CL"))),"MCL"),IF(Parametre_2018!I$4&lt;&gt;"",IF(N45&lt;=Parametre_2018!I$4,IF(Parametre_2018!J$4&lt;&gt;"",IF(O45&lt;=Parametre_2018!J$4,"CL",""),"CL"),""),IF(Parametre_2018!J$4&lt;&gt;"",IF(O45&lt;=Parametre_2018!J$4,"CL",""),"CL"))),IF(Parametre_2018!D$4&lt;&gt;"",IF(O45&lt;=Parametre_2018!D$4,"MCL",IF(Parametre_2018!I$4&lt;&gt;"",IF(N45&lt;=Parametre_2018!I$4,IF(Parametre_2018!J$4&lt;&gt;"",IF(O45&lt;=Parametre_2018!J$4,"CL",""),"CL"),""),IF(Parametre_2018!J$4&lt;&gt;"",IF(O45&lt;=Parametre_2018!J$4,"CL",""),"CL"))),"MCL")),IF(Q45&lt;&gt;"",IF(AND(Q45&gt;Parametre_2018!B$4,Q45&lt;=Parametre_2018!H$4),IF(Parametre_2018!I$4&lt;&gt;"",IF(N45&lt;=Parametre_2018!I$4,IF(Parametre_2018!J$4&lt;&gt;"",IF(O45&lt;=Parametre_2018!J$4,"CL",""),"CL"),""),IF(Parametre_2018!J$4&lt;&gt;"",IF(O45&lt;=Parametre_2018!J$4,"CL",""),"CL")),""),"")),"")</f>
        <v/>
      </c>
      <c r="AC45" s="89"/>
      <c r="AD45" s="74"/>
      <c r="AE45" s="77"/>
      <c r="AF45" s="54"/>
      <c r="AG45" s="56"/>
      <c r="AH45" s="56"/>
      <c r="AI45" s="119"/>
      <c r="AJ45" s="119"/>
      <c r="AK45" s="119"/>
      <c r="AL45" s="119"/>
      <c r="AM45" s="119"/>
      <c r="AN45" s="119"/>
      <c r="AO45" s="119"/>
      <c r="AP45" s="119"/>
      <c r="AQ45" s="119"/>
      <c r="AR45" s="119"/>
      <c r="AS45" s="119"/>
      <c r="AT45" s="119"/>
      <c r="AU45" s="119"/>
      <c r="AV45" s="119"/>
      <c r="AW45" s="119"/>
      <c r="AX45" s="119"/>
      <c r="AY45" s="119"/>
      <c r="AZ45" s="56"/>
      <c r="BA45" s="56"/>
      <c r="BB45" s="56"/>
      <c r="BC45" s="56"/>
      <c r="BD45" s="56"/>
      <c r="BE45" s="56"/>
      <c r="BF45" s="56"/>
    </row>
    <row r="46" spans="1:62" s="56" customFormat="1" ht="41.25" customHeight="1" x14ac:dyDescent="0.25">
      <c r="A46" s="152">
        <v>75</v>
      </c>
      <c r="B46" s="152" t="s">
        <v>62</v>
      </c>
      <c r="C46" s="183" t="s">
        <v>416</v>
      </c>
      <c r="D46" s="183" t="s">
        <v>316</v>
      </c>
      <c r="E46" s="184" t="s">
        <v>50</v>
      </c>
      <c r="F46" s="185" t="s">
        <v>470</v>
      </c>
      <c r="G46" s="195">
        <v>43262</v>
      </c>
      <c r="H46" s="187" t="s">
        <v>495</v>
      </c>
      <c r="I46" s="192" t="s">
        <v>496</v>
      </c>
      <c r="J46" s="194" t="s">
        <v>497</v>
      </c>
      <c r="K46" s="164" t="s">
        <v>261</v>
      </c>
      <c r="L46" s="161" t="s">
        <v>158</v>
      </c>
      <c r="M46" s="163" t="s">
        <v>144</v>
      </c>
      <c r="N46" s="178" t="s">
        <v>59</v>
      </c>
      <c r="O46" s="198" t="s">
        <v>60</v>
      </c>
      <c r="P46" s="200">
        <v>1.79</v>
      </c>
      <c r="Q46" s="202">
        <v>1.75</v>
      </c>
      <c r="R46" s="154"/>
      <c r="S46" s="153"/>
      <c r="T46" s="153"/>
      <c r="U46" s="132" t="str">
        <f t="shared" si="1"/>
        <v/>
      </c>
      <c r="V46" s="152"/>
      <c r="W46" s="152"/>
      <c r="X46" s="152"/>
      <c r="Y46" s="226" t="str">
        <f>IF(Q46&lt;&gt;"",IF(Q46&lt;=1.2,IF(O46="A","CR",IF(V46&lt;&gt;"",IF(Parametre_2018!N$4=1,IF(LEFT(V46,1)="1",IF(V46&lt;&gt;"",IF(Parametre_2018!O$4&lt;&gt;"",IF(N46&lt;=Parametre_2018!O$4,IF(V46&lt;&gt;"",IF(Parametre_2018!P$4&lt;&gt;"",IF(O46&lt;=Parametre_2018!P$4,"PLD",""),"PLD"),""),""),IF(V46&lt;&gt;"",IF(Parametre_2018!P$4&lt;&gt;"",IF(O46&lt;=Parametre_2018!P$4,"PLD",""),"PLD"),"")),""),""),IF(V46&lt;&gt;"",IF(Parametre_2018!O$4&lt;&gt;"",IF(N46&lt;=Parametre_2018!O$4,IF(V46&lt;&gt;"",IF(Parametre_2018!P$4&lt;&gt;"",IF(O46&lt;=Parametre_2018!P$4,"PLD",""),"PLD"),""),""),IF(V46&lt;&gt;"",IF(Parametre_2018!P$4&lt;&gt;"",IF(O46&lt;=Parametre_2018!P$4,"PLD",""),"PLD"),"")),"")),"")),IF(V46&lt;&gt;"",IF(Parametre_2018!N$4=1,IF(LEFT(V46,1)="1",IF(V46&lt;&gt;"",IF(Parametre_2018!O$4&lt;&gt;"",IF(N46&lt;=Parametre_2018!O$4,IF(V46&lt;&gt;"",IF(Parametre_2018!P$4&lt;&gt;"",IF(O46&lt;=Parametre_2018!P$4,"PLD",""),"PLD"),""),""),IF(V46&lt;&gt;"",IF(Parametre_2018!P$4&lt;&gt;"",IF(O46&lt;=Parametre_2018!P$4,"PLD",""),"PLD"),"")),""),""),IF(V46&lt;&gt;"",IF(Parametre_2018!O$4&lt;&gt;"",IF(N46&lt;=Parametre_2018!O$4,IF(V46&lt;&gt;"",IF(Parametre_2018!P$4&lt;&gt;"",IF(O46&lt;=Parametre_2018!P$4,"PLD",""),"PLD"),""),""),IF(V46&lt;&gt;"",IF(Parametre_2018!P$4&lt;&gt;"",IF(O46&lt;=Parametre_2018!P$4,"PLD",""),"PLD"),"")),"")),"")),"")</f>
        <v/>
      </c>
      <c r="Z46" s="152"/>
      <c r="AA46" s="227"/>
      <c r="AB46" s="228" t="str">
        <f>IF(Q46&lt;&gt;"",IF(Q46&lt;=Parametre_2018!B$4,IF(Parametre_2018!C$4&lt;&gt;"",IF(N46&lt;=Parametre_2018!C$4,IF(Parametre_2018!D$4&lt;&gt;"",IF(O46&lt;=Parametre_2018!D$4,"MCL",IF(Parametre_2018!I$4&lt;&gt;"",IF(N46&lt;=Parametre_2018!I$4,IF(Parametre_2018!J$4&lt;&gt;"",IF(O46&lt;=Parametre_2018!J$4,"CL",""),"CL"),""),IF(Parametre_2018!J$4&lt;&gt;"",IF(O46&lt;=Parametre_2018!J$4,"CL",""),"CL"))),"MCL"),IF(Parametre_2018!I$4&lt;&gt;"",IF(N46&lt;=Parametre_2018!I$4,IF(Parametre_2018!J$4&lt;&gt;"",IF(O46&lt;=Parametre_2018!J$4,"CL",""),"CL"),""),IF(Parametre_2018!J$4&lt;&gt;"",IF(O46&lt;=Parametre_2018!J$4,"CL",""),"CL"))),IF(Parametre_2018!D$4&lt;&gt;"",IF(O46&lt;=Parametre_2018!D$4,"MCL",IF(Parametre_2018!I$4&lt;&gt;"",IF(N46&lt;=Parametre_2018!I$4,IF(Parametre_2018!J$4&lt;&gt;"",IF(O46&lt;=Parametre_2018!J$4,"CL",""),"CL"),""),IF(Parametre_2018!J$4&lt;&gt;"",IF(O46&lt;=Parametre_2018!J$4,"CL",""),"CL"))),"MCL")),IF(Q46&lt;&gt;"",IF(AND(Q46&gt;Parametre_2018!B$4,Q46&lt;=Parametre_2018!H$4),IF(Parametre_2018!I$4&lt;&gt;"",IF(N46&lt;=Parametre_2018!I$4,IF(Parametre_2018!J$4&lt;&gt;"",IF(O46&lt;=Parametre_2018!J$4,"CL",""),"CL"),""),IF(Parametre_2018!J$4&lt;&gt;"",IF(O46&lt;=Parametre_2018!J$4,"CL",""),"CL")),""),"")),"")</f>
        <v/>
      </c>
      <c r="AC46" s="153"/>
      <c r="AD46" s="74"/>
      <c r="AE46" s="153"/>
      <c r="AF46" s="153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  <c r="AV46" s="119"/>
      <c r="AW46" s="119"/>
      <c r="AX46" s="119"/>
      <c r="AY46" s="119"/>
      <c r="AZ46" s="57"/>
      <c r="BA46" s="57"/>
      <c r="BB46" s="57"/>
      <c r="BC46" s="57"/>
      <c r="BD46" s="57"/>
      <c r="BE46" s="57"/>
      <c r="BF46" s="57"/>
    </row>
    <row r="47" spans="1:62" s="56" customFormat="1" ht="39.75" customHeight="1" x14ac:dyDescent="0.25">
      <c r="A47" s="152">
        <v>21</v>
      </c>
      <c r="B47" s="152" t="s">
        <v>62</v>
      </c>
      <c r="C47" s="183" t="s">
        <v>340</v>
      </c>
      <c r="D47" s="183" t="s">
        <v>55</v>
      </c>
      <c r="E47" s="184" t="s">
        <v>50</v>
      </c>
      <c r="F47" s="185" t="s">
        <v>470</v>
      </c>
      <c r="G47" s="186">
        <v>43263</v>
      </c>
      <c r="H47" s="187" t="s">
        <v>472</v>
      </c>
      <c r="I47" s="187" t="s">
        <v>94</v>
      </c>
      <c r="J47" s="193" t="s">
        <v>51</v>
      </c>
      <c r="K47" s="164" t="s">
        <v>207</v>
      </c>
      <c r="L47" s="161" t="s">
        <v>133</v>
      </c>
      <c r="M47" s="163" t="s">
        <v>156</v>
      </c>
      <c r="N47" s="178" t="s">
        <v>59</v>
      </c>
      <c r="O47" s="198" t="s">
        <v>59</v>
      </c>
      <c r="P47" s="200">
        <v>1.66</v>
      </c>
      <c r="Q47" s="202">
        <v>1.76</v>
      </c>
      <c r="R47" s="152"/>
      <c r="S47" s="152"/>
      <c r="T47" s="152"/>
      <c r="U47" s="132" t="str">
        <f t="shared" si="1"/>
        <v/>
      </c>
      <c r="V47" s="55"/>
      <c r="W47" s="55"/>
      <c r="X47" s="58"/>
      <c r="Y47" s="226" t="str">
        <f>IF(Q47&lt;&gt;"",IF(Q47&lt;=1.2,IF(O47="A","CR",IF(V47&lt;&gt;"",IF(Parametre_2018!N$4=1,IF(LEFT(V47,1)="1",IF(V47&lt;&gt;"",IF(Parametre_2018!O$4&lt;&gt;"",IF(N47&lt;=Parametre_2018!O$4,IF(V47&lt;&gt;"",IF(Parametre_2018!P$4&lt;&gt;"",IF(O47&lt;=Parametre_2018!P$4,"PLD",""),"PLD"),""),""),IF(V47&lt;&gt;"",IF(Parametre_2018!P$4&lt;&gt;"",IF(O47&lt;=Parametre_2018!P$4,"PLD",""),"PLD"),"")),""),""),IF(V47&lt;&gt;"",IF(Parametre_2018!O$4&lt;&gt;"",IF(N47&lt;=Parametre_2018!O$4,IF(V47&lt;&gt;"",IF(Parametre_2018!P$4&lt;&gt;"",IF(O47&lt;=Parametre_2018!P$4,"PLD",""),"PLD"),""),""),IF(V47&lt;&gt;"",IF(Parametre_2018!P$4&lt;&gt;"",IF(O47&lt;=Parametre_2018!P$4,"PLD",""),"PLD"),"")),"")),"")),IF(V47&lt;&gt;"",IF(Parametre_2018!N$4=1,IF(LEFT(V47,1)="1",IF(V47&lt;&gt;"",IF(Parametre_2018!O$4&lt;&gt;"",IF(N47&lt;=Parametre_2018!O$4,IF(V47&lt;&gt;"",IF(Parametre_2018!P$4&lt;&gt;"",IF(O47&lt;=Parametre_2018!P$4,"PLD",""),"PLD"),""),""),IF(V47&lt;&gt;"",IF(Parametre_2018!P$4&lt;&gt;"",IF(O47&lt;=Parametre_2018!P$4,"PLD",""),"PLD"),"")),""),""),IF(V47&lt;&gt;"",IF(Parametre_2018!O$4&lt;&gt;"",IF(N47&lt;=Parametre_2018!O$4,IF(V47&lt;&gt;"",IF(Parametre_2018!P$4&lt;&gt;"",IF(O47&lt;=Parametre_2018!P$4,"PLD",""),"PLD"),""),""),IF(V47&lt;&gt;"",IF(Parametre_2018!P$4&lt;&gt;"",IF(O47&lt;=Parametre_2018!P$4,"PLD",""),"PLD"),"")),"")),"")),"")</f>
        <v/>
      </c>
      <c r="Z47" s="58"/>
      <c r="AA47" s="227"/>
      <c r="AB47" s="228" t="str">
        <f>IF(Q47&lt;&gt;"",IF(Q47&lt;=Parametre_2018!B$4,IF(Parametre_2018!C$4&lt;&gt;"",IF(N47&lt;=Parametre_2018!C$4,IF(Parametre_2018!D$4&lt;&gt;"",IF(O47&lt;=Parametre_2018!D$4,"MCL",IF(Parametre_2018!I$4&lt;&gt;"",IF(N47&lt;=Parametre_2018!I$4,IF(Parametre_2018!J$4&lt;&gt;"",IF(O47&lt;=Parametre_2018!J$4,"CL",""),"CL"),""),IF(Parametre_2018!J$4&lt;&gt;"",IF(O47&lt;=Parametre_2018!J$4,"CL",""),"CL"))),"MCL"),IF(Parametre_2018!I$4&lt;&gt;"",IF(N47&lt;=Parametre_2018!I$4,IF(Parametre_2018!J$4&lt;&gt;"",IF(O47&lt;=Parametre_2018!J$4,"CL",""),"CL"),""),IF(Parametre_2018!J$4&lt;&gt;"",IF(O47&lt;=Parametre_2018!J$4,"CL",""),"CL"))),IF(Parametre_2018!D$4&lt;&gt;"",IF(O47&lt;=Parametre_2018!D$4,"MCL",IF(Parametre_2018!I$4&lt;&gt;"",IF(N47&lt;=Parametre_2018!I$4,IF(Parametre_2018!J$4&lt;&gt;"",IF(O47&lt;=Parametre_2018!J$4,"CL",""),"CL"),""),IF(Parametre_2018!J$4&lt;&gt;"",IF(O47&lt;=Parametre_2018!J$4,"CL",""),"CL"))),"MCL")),IF(Q47&lt;&gt;"",IF(AND(Q47&gt;Parametre_2018!B$4,Q47&lt;=Parametre_2018!H$4),IF(Parametre_2018!I$4&lt;&gt;"",IF(N47&lt;=Parametre_2018!I$4,IF(Parametre_2018!J$4&lt;&gt;"",IF(O47&lt;=Parametre_2018!J$4,"CL",""),"CL"),""),IF(Parametre_2018!J$4&lt;&gt;"",IF(O47&lt;=Parametre_2018!J$4,"CL",""),"CL")),""),"")),"")</f>
        <v/>
      </c>
      <c r="AC47" s="89"/>
      <c r="AD47" s="74"/>
      <c r="AE47" s="77"/>
      <c r="AF47" s="54"/>
      <c r="AI47" s="119"/>
      <c r="AJ47" s="119"/>
      <c r="AK47" s="119"/>
      <c r="AL47" s="119"/>
      <c r="AM47" s="119"/>
      <c r="AN47" s="119"/>
      <c r="AO47" s="119"/>
      <c r="AP47" s="119"/>
      <c r="AQ47" s="119"/>
      <c r="AR47" s="119"/>
      <c r="AS47" s="119"/>
      <c r="AT47" s="119"/>
      <c r="AU47" s="119"/>
      <c r="AV47" s="119"/>
      <c r="AW47" s="119"/>
      <c r="AX47" s="119"/>
      <c r="AY47" s="119"/>
      <c r="BG47" s="64"/>
      <c r="BH47" s="64"/>
      <c r="BI47" s="64"/>
      <c r="BJ47" s="64"/>
    </row>
    <row r="48" spans="1:62" s="53" customFormat="1" ht="39.75" customHeight="1" x14ac:dyDescent="0.25">
      <c r="A48" s="152">
        <v>50</v>
      </c>
      <c r="B48" s="152" t="s">
        <v>62</v>
      </c>
      <c r="C48" s="183" t="s">
        <v>383</v>
      </c>
      <c r="D48" s="183" t="s">
        <v>335</v>
      </c>
      <c r="E48" s="184" t="s">
        <v>50</v>
      </c>
      <c r="F48" s="185" t="s">
        <v>470</v>
      </c>
      <c r="G48" s="195">
        <v>43262</v>
      </c>
      <c r="H48" s="192" t="s">
        <v>498</v>
      </c>
      <c r="I48" s="192" t="s">
        <v>480</v>
      </c>
      <c r="J48" s="172" t="s">
        <v>499</v>
      </c>
      <c r="K48" s="164" t="s">
        <v>236</v>
      </c>
      <c r="L48" s="161" t="s">
        <v>134</v>
      </c>
      <c r="M48" s="163" t="s">
        <v>178</v>
      </c>
      <c r="N48" s="181" t="s">
        <v>62</v>
      </c>
      <c r="O48" s="198" t="s">
        <v>62</v>
      </c>
      <c r="P48" s="200">
        <v>1.83</v>
      </c>
      <c r="Q48" s="202">
        <v>1.76</v>
      </c>
      <c r="R48" s="209"/>
      <c r="S48" s="169"/>
      <c r="T48" s="169"/>
      <c r="U48" s="132" t="str">
        <f t="shared" si="1"/>
        <v/>
      </c>
      <c r="V48" s="220"/>
      <c r="W48" s="220"/>
      <c r="X48" s="169"/>
      <c r="Y48" s="226" t="str">
        <f>IF(Q48&lt;&gt;"",IF(Q48&lt;=1.2,IF(O48="A","CR",IF(V48&lt;&gt;"",IF(Parametre_2018!N$4=1,IF(LEFT(V48,1)="1",IF(V48&lt;&gt;"",IF(Parametre_2018!O$4&lt;&gt;"",IF(N48&lt;=Parametre_2018!O$4,IF(V48&lt;&gt;"",IF(Parametre_2018!P$4&lt;&gt;"",IF(O48&lt;=Parametre_2018!P$4,"PLD",""),"PLD"),""),""),IF(V48&lt;&gt;"",IF(Parametre_2018!P$4&lt;&gt;"",IF(O48&lt;=Parametre_2018!P$4,"PLD",""),"PLD"),"")),""),""),IF(V48&lt;&gt;"",IF(Parametre_2018!O$4&lt;&gt;"",IF(N48&lt;=Parametre_2018!O$4,IF(V48&lt;&gt;"",IF(Parametre_2018!P$4&lt;&gt;"",IF(O48&lt;=Parametre_2018!P$4,"PLD",""),"PLD"),""),""),IF(V48&lt;&gt;"",IF(Parametre_2018!P$4&lt;&gt;"",IF(O48&lt;=Parametre_2018!P$4,"PLD",""),"PLD"),"")),"")),"")),IF(V48&lt;&gt;"",IF(Parametre_2018!N$4=1,IF(LEFT(V48,1)="1",IF(V48&lt;&gt;"",IF(Parametre_2018!O$4&lt;&gt;"",IF(N48&lt;=Parametre_2018!O$4,IF(V48&lt;&gt;"",IF(Parametre_2018!P$4&lt;&gt;"",IF(O48&lt;=Parametre_2018!P$4,"PLD",""),"PLD"),""),""),IF(V48&lt;&gt;"",IF(Parametre_2018!P$4&lt;&gt;"",IF(O48&lt;=Parametre_2018!P$4,"PLD",""),"PLD"),"")),""),""),IF(V48&lt;&gt;"",IF(Parametre_2018!O$4&lt;&gt;"",IF(N48&lt;=Parametre_2018!O$4,IF(V48&lt;&gt;"",IF(Parametre_2018!P$4&lt;&gt;"",IF(O48&lt;=Parametre_2018!P$4,"PLD",""),"PLD"),""),""),IF(V48&lt;&gt;"",IF(Parametre_2018!P$4&lt;&gt;"",IF(O48&lt;=Parametre_2018!P$4,"PLD",""),"PLD"),"")),"")),"")),"")</f>
        <v/>
      </c>
      <c r="Z48" s="220"/>
      <c r="AA48" s="227"/>
      <c r="AB48" s="228" t="str">
        <f>IF(Q48&lt;&gt;"",IF(Q48&lt;=Parametre_2018!B$4,IF(Parametre_2018!C$4&lt;&gt;"",IF(N48&lt;=Parametre_2018!C$4,IF(Parametre_2018!D$4&lt;&gt;"",IF(O48&lt;=Parametre_2018!D$4,"MCL",IF(Parametre_2018!I$4&lt;&gt;"",IF(N48&lt;=Parametre_2018!I$4,IF(Parametre_2018!J$4&lt;&gt;"",IF(O48&lt;=Parametre_2018!J$4,"CL",""),"CL"),""),IF(Parametre_2018!J$4&lt;&gt;"",IF(O48&lt;=Parametre_2018!J$4,"CL",""),"CL"))),"MCL"),IF(Parametre_2018!I$4&lt;&gt;"",IF(N48&lt;=Parametre_2018!I$4,IF(Parametre_2018!J$4&lt;&gt;"",IF(O48&lt;=Parametre_2018!J$4,"CL",""),"CL"),""),IF(Parametre_2018!J$4&lt;&gt;"",IF(O48&lt;=Parametre_2018!J$4,"CL",""),"CL"))),IF(Parametre_2018!D$4&lt;&gt;"",IF(O48&lt;=Parametre_2018!D$4,"MCL",IF(Parametre_2018!I$4&lt;&gt;"",IF(N48&lt;=Parametre_2018!I$4,IF(Parametre_2018!J$4&lt;&gt;"",IF(O48&lt;=Parametre_2018!J$4,"CL",""),"CL"),""),IF(Parametre_2018!J$4&lt;&gt;"",IF(O48&lt;=Parametre_2018!J$4,"CL",""),"CL"))),"MCL")),IF(Q48&lt;&gt;"",IF(AND(Q48&gt;Parametre_2018!B$4,Q48&lt;=Parametre_2018!H$4),IF(Parametre_2018!I$4&lt;&gt;"",IF(N48&lt;=Parametre_2018!I$4,IF(Parametre_2018!J$4&lt;&gt;"",IF(O48&lt;=Parametre_2018!J$4,"CL",""),"CL"),""),IF(Parametre_2018!J$4&lt;&gt;"",IF(O48&lt;=Parametre_2018!J$4,"CL",""),"CL")),""),"")),"")</f>
        <v/>
      </c>
      <c r="AC48" s="169"/>
      <c r="AD48" s="74"/>
      <c r="AE48" s="169"/>
      <c r="AF48" s="169"/>
      <c r="AG48" s="56"/>
      <c r="AH48" s="56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19"/>
      <c r="AX48" s="119"/>
      <c r="AY48" s="119"/>
      <c r="AZ48" s="56"/>
      <c r="BA48" s="56"/>
      <c r="BB48" s="56"/>
      <c r="BC48" s="56"/>
      <c r="BD48" s="56"/>
      <c r="BE48" s="56"/>
      <c r="BF48" s="56"/>
    </row>
    <row r="49" spans="1:58" s="53" customFormat="1" ht="39.75" customHeight="1" x14ac:dyDescent="0.25">
      <c r="A49" s="152">
        <v>64</v>
      </c>
      <c r="B49" s="152" t="s">
        <v>62</v>
      </c>
      <c r="C49" s="183" t="s">
        <v>402</v>
      </c>
      <c r="D49" s="183" t="s">
        <v>52</v>
      </c>
      <c r="E49" s="184" t="s">
        <v>50</v>
      </c>
      <c r="F49" s="185" t="s">
        <v>471</v>
      </c>
      <c r="G49" s="195">
        <v>43262</v>
      </c>
      <c r="H49" s="187" t="s">
        <v>489</v>
      </c>
      <c r="I49" s="192" t="s">
        <v>18</v>
      </c>
      <c r="J49" s="194" t="s">
        <v>490</v>
      </c>
      <c r="K49" s="164" t="s">
        <v>250</v>
      </c>
      <c r="L49" s="161" t="s">
        <v>145</v>
      </c>
      <c r="M49" s="163" t="s">
        <v>130</v>
      </c>
      <c r="N49" s="178" t="s">
        <v>25</v>
      </c>
      <c r="O49" s="198" t="s">
        <v>25</v>
      </c>
      <c r="P49" s="200">
        <v>1.57</v>
      </c>
      <c r="Q49" s="202">
        <v>1.76</v>
      </c>
      <c r="R49" s="154"/>
      <c r="S49" s="153"/>
      <c r="T49" s="153"/>
      <c r="U49" s="132" t="str">
        <f t="shared" si="1"/>
        <v/>
      </c>
      <c r="V49" s="152"/>
      <c r="W49" s="152"/>
      <c r="X49" s="153"/>
      <c r="Y49" s="226" t="str">
        <f>IF(Q49&lt;&gt;"",IF(Q49&lt;=1.2,IF(O49="A","CR",IF(V49&lt;&gt;"",IF(Parametre_2018!N$4=1,IF(LEFT(V49,1)="1",IF(V49&lt;&gt;"",IF(Parametre_2018!O$4&lt;&gt;"",IF(N49&lt;=Parametre_2018!O$4,IF(V49&lt;&gt;"",IF(Parametre_2018!P$4&lt;&gt;"",IF(O49&lt;=Parametre_2018!P$4,"PLD",""),"PLD"),""),""),IF(V49&lt;&gt;"",IF(Parametre_2018!P$4&lt;&gt;"",IF(O49&lt;=Parametre_2018!P$4,"PLD",""),"PLD"),"")),""),""),IF(V49&lt;&gt;"",IF(Parametre_2018!O$4&lt;&gt;"",IF(N49&lt;=Parametre_2018!O$4,IF(V49&lt;&gt;"",IF(Parametre_2018!P$4&lt;&gt;"",IF(O49&lt;=Parametre_2018!P$4,"PLD",""),"PLD"),""),""),IF(V49&lt;&gt;"",IF(Parametre_2018!P$4&lt;&gt;"",IF(O49&lt;=Parametre_2018!P$4,"PLD",""),"PLD"),"")),"")),"")),IF(V49&lt;&gt;"",IF(Parametre_2018!N$4=1,IF(LEFT(V49,1)="1",IF(V49&lt;&gt;"",IF(Parametre_2018!O$4&lt;&gt;"",IF(N49&lt;=Parametre_2018!O$4,IF(V49&lt;&gt;"",IF(Parametre_2018!P$4&lt;&gt;"",IF(O49&lt;=Parametre_2018!P$4,"PLD",""),"PLD"),""),""),IF(V49&lt;&gt;"",IF(Parametre_2018!P$4&lt;&gt;"",IF(O49&lt;=Parametre_2018!P$4,"PLD",""),"PLD"),"")),""),""),IF(V49&lt;&gt;"",IF(Parametre_2018!O$4&lt;&gt;"",IF(N49&lt;=Parametre_2018!O$4,IF(V49&lt;&gt;"",IF(Parametre_2018!P$4&lt;&gt;"",IF(O49&lt;=Parametre_2018!P$4,"PLD",""),"PLD"),""),""),IF(V49&lt;&gt;"",IF(Parametre_2018!P$4&lt;&gt;"",IF(O49&lt;=Parametre_2018!P$4,"PLD",""),"PLD"),"")),"")),"")),"")</f>
        <v/>
      </c>
      <c r="Z49" s="152"/>
      <c r="AA49" s="227"/>
      <c r="AB49" s="228" t="str">
        <f>IF(Q49&lt;&gt;"",IF(Q49&lt;=Parametre_2018!B$4,IF(Parametre_2018!C$4&lt;&gt;"",IF(N49&lt;=Parametre_2018!C$4,IF(Parametre_2018!D$4&lt;&gt;"",IF(O49&lt;=Parametre_2018!D$4,"MCL",IF(Parametre_2018!I$4&lt;&gt;"",IF(N49&lt;=Parametre_2018!I$4,IF(Parametre_2018!J$4&lt;&gt;"",IF(O49&lt;=Parametre_2018!J$4,"CL",""),"CL"),""),IF(Parametre_2018!J$4&lt;&gt;"",IF(O49&lt;=Parametre_2018!J$4,"CL",""),"CL"))),"MCL"),IF(Parametre_2018!I$4&lt;&gt;"",IF(N49&lt;=Parametre_2018!I$4,IF(Parametre_2018!J$4&lt;&gt;"",IF(O49&lt;=Parametre_2018!J$4,"CL",""),"CL"),""),IF(Parametre_2018!J$4&lt;&gt;"",IF(O49&lt;=Parametre_2018!J$4,"CL",""),"CL"))),IF(Parametre_2018!D$4&lt;&gt;"",IF(O49&lt;=Parametre_2018!D$4,"MCL",IF(Parametre_2018!I$4&lt;&gt;"",IF(N49&lt;=Parametre_2018!I$4,IF(Parametre_2018!J$4&lt;&gt;"",IF(O49&lt;=Parametre_2018!J$4,"CL",""),"CL"),""),IF(Parametre_2018!J$4&lt;&gt;"",IF(O49&lt;=Parametre_2018!J$4,"CL",""),"CL"))),"MCL")),IF(Q49&lt;&gt;"",IF(AND(Q49&gt;Parametre_2018!B$4,Q49&lt;=Parametre_2018!H$4),IF(Parametre_2018!I$4&lt;&gt;"",IF(N49&lt;=Parametre_2018!I$4,IF(Parametre_2018!J$4&lt;&gt;"",IF(O49&lt;=Parametre_2018!J$4,"CL",""),"CL"),""),IF(Parametre_2018!J$4&lt;&gt;"",IF(O49&lt;=Parametre_2018!J$4,"CL",""),"CL")),""),"")),"")</f>
        <v/>
      </c>
      <c r="AC49" s="153"/>
      <c r="AD49" s="74"/>
      <c r="AE49" s="153"/>
      <c r="AF49" s="153"/>
      <c r="AG49" s="56"/>
      <c r="AH49" s="56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  <c r="AV49" s="119"/>
      <c r="AW49" s="119"/>
      <c r="AX49" s="119"/>
      <c r="AY49" s="119"/>
      <c r="AZ49" s="56"/>
      <c r="BA49" s="56"/>
      <c r="BB49" s="56"/>
      <c r="BC49" s="56"/>
      <c r="BD49" s="56"/>
      <c r="BE49" s="56"/>
      <c r="BF49" s="56"/>
    </row>
    <row r="50" spans="1:58" s="16" customFormat="1" ht="39.75" customHeight="1" x14ac:dyDescent="0.25">
      <c r="A50" s="152">
        <v>29</v>
      </c>
      <c r="B50" s="152" t="s">
        <v>62</v>
      </c>
      <c r="C50" s="183" t="s">
        <v>354</v>
      </c>
      <c r="D50" s="183" t="s">
        <v>54</v>
      </c>
      <c r="E50" s="184" t="s">
        <v>50</v>
      </c>
      <c r="F50" s="185" t="s">
        <v>470</v>
      </c>
      <c r="G50" s="195">
        <v>43262</v>
      </c>
      <c r="H50" s="192" t="s">
        <v>502</v>
      </c>
      <c r="I50" s="192" t="s">
        <v>485</v>
      </c>
      <c r="J50" s="194" t="s">
        <v>503</v>
      </c>
      <c r="K50" s="164" t="s">
        <v>215</v>
      </c>
      <c r="L50" s="161" t="s">
        <v>137</v>
      </c>
      <c r="M50" s="163" t="s">
        <v>118</v>
      </c>
      <c r="N50" s="178" t="s">
        <v>60</v>
      </c>
      <c r="O50" s="198" t="s">
        <v>60</v>
      </c>
      <c r="P50" s="200">
        <v>1.82</v>
      </c>
      <c r="Q50" s="202">
        <v>1.78</v>
      </c>
      <c r="R50" s="207"/>
      <c r="S50" s="152"/>
      <c r="T50" s="152"/>
      <c r="U50" s="132" t="str">
        <f t="shared" si="1"/>
        <v/>
      </c>
      <c r="V50" s="152"/>
      <c r="W50" s="152"/>
      <c r="X50" s="152"/>
      <c r="Y50" s="226" t="str">
        <f>IF(Q50&lt;&gt;"",IF(Q50&lt;=1.2,IF(O50="A","CR",IF(V50&lt;&gt;"",IF(Parametre_2018!N$4=1,IF(LEFT(V50,1)="1",IF(V50&lt;&gt;"",IF(Parametre_2018!O$4&lt;&gt;"",IF(N50&lt;=Parametre_2018!O$4,IF(V50&lt;&gt;"",IF(Parametre_2018!P$4&lt;&gt;"",IF(O50&lt;=Parametre_2018!P$4,"PLD",""),"PLD"),""),""),IF(V50&lt;&gt;"",IF(Parametre_2018!P$4&lt;&gt;"",IF(O50&lt;=Parametre_2018!P$4,"PLD",""),"PLD"),"")),""),""),IF(V50&lt;&gt;"",IF(Parametre_2018!O$4&lt;&gt;"",IF(N50&lt;=Parametre_2018!O$4,IF(V50&lt;&gt;"",IF(Parametre_2018!P$4&lt;&gt;"",IF(O50&lt;=Parametre_2018!P$4,"PLD",""),"PLD"),""),""),IF(V50&lt;&gt;"",IF(Parametre_2018!P$4&lt;&gt;"",IF(O50&lt;=Parametre_2018!P$4,"PLD",""),"PLD"),"")),"")),"")),IF(V50&lt;&gt;"",IF(Parametre_2018!N$4=1,IF(LEFT(V50,1)="1",IF(V50&lt;&gt;"",IF(Parametre_2018!O$4&lt;&gt;"",IF(N50&lt;=Parametre_2018!O$4,IF(V50&lt;&gt;"",IF(Parametre_2018!P$4&lt;&gt;"",IF(O50&lt;=Parametre_2018!P$4,"PLD",""),"PLD"),""),""),IF(V50&lt;&gt;"",IF(Parametre_2018!P$4&lt;&gt;"",IF(O50&lt;=Parametre_2018!P$4,"PLD",""),"PLD"),"")),""),""),IF(V50&lt;&gt;"",IF(Parametre_2018!O$4&lt;&gt;"",IF(N50&lt;=Parametre_2018!O$4,IF(V50&lt;&gt;"",IF(Parametre_2018!P$4&lt;&gt;"",IF(O50&lt;=Parametre_2018!P$4,"PLD",""),"PLD"),""),""),IF(V50&lt;&gt;"",IF(Parametre_2018!P$4&lt;&gt;"",IF(O50&lt;=Parametre_2018!P$4,"PLD",""),"PLD"),"")),"")),"")),"")</f>
        <v/>
      </c>
      <c r="Z50" s="58"/>
      <c r="AA50" s="227"/>
      <c r="AB50" s="228" t="str">
        <f>IF(Q50&lt;&gt;"",IF(Q50&lt;=Parametre_2018!B$4,IF(Parametre_2018!C$4&lt;&gt;"",IF(N50&lt;=Parametre_2018!C$4,IF(Parametre_2018!D$4&lt;&gt;"",IF(O50&lt;=Parametre_2018!D$4,"MCL",IF(Parametre_2018!I$4&lt;&gt;"",IF(N50&lt;=Parametre_2018!I$4,IF(Parametre_2018!J$4&lt;&gt;"",IF(O50&lt;=Parametre_2018!J$4,"CL",""),"CL"),""),IF(Parametre_2018!J$4&lt;&gt;"",IF(O50&lt;=Parametre_2018!J$4,"CL",""),"CL"))),"MCL"),IF(Parametre_2018!I$4&lt;&gt;"",IF(N50&lt;=Parametre_2018!I$4,IF(Parametre_2018!J$4&lt;&gt;"",IF(O50&lt;=Parametre_2018!J$4,"CL",""),"CL"),""),IF(Parametre_2018!J$4&lt;&gt;"",IF(O50&lt;=Parametre_2018!J$4,"CL",""),"CL"))),IF(Parametre_2018!D$4&lt;&gt;"",IF(O50&lt;=Parametre_2018!D$4,"MCL",IF(Parametre_2018!I$4&lt;&gt;"",IF(N50&lt;=Parametre_2018!I$4,IF(Parametre_2018!J$4&lt;&gt;"",IF(O50&lt;=Parametre_2018!J$4,"CL",""),"CL"),""),IF(Parametre_2018!J$4&lt;&gt;"",IF(O50&lt;=Parametre_2018!J$4,"CL",""),"CL"))),"MCL")),IF(Q50&lt;&gt;"",IF(AND(Q50&gt;Parametre_2018!B$4,Q50&lt;=Parametre_2018!H$4),IF(Parametre_2018!I$4&lt;&gt;"",IF(N50&lt;=Parametre_2018!I$4,IF(Parametre_2018!J$4&lt;&gt;"",IF(O50&lt;=Parametre_2018!J$4,"CL",""),"CL"),""),IF(Parametre_2018!J$4&lt;&gt;"",IF(O50&lt;=Parametre_2018!J$4,"CL",""),"CL")),""),"")),"")</f>
        <v/>
      </c>
      <c r="AC50" s="89"/>
      <c r="AD50" s="74"/>
      <c r="AE50" s="54"/>
      <c r="AF50" s="54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</row>
    <row r="51" spans="1:58" s="2" customFormat="1" ht="39.75" customHeight="1" x14ac:dyDescent="0.25">
      <c r="A51" s="152">
        <v>34</v>
      </c>
      <c r="B51" s="152" t="s">
        <v>62</v>
      </c>
      <c r="C51" s="183" t="s">
        <v>361</v>
      </c>
      <c r="D51" s="183" t="s">
        <v>54</v>
      </c>
      <c r="E51" s="184" t="s">
        <v>50</v>
      </c>
      <c r="F51" s="185" t="s">
        <v>470</v>
      </c>
      <c r="G51" s="195">
        <v>43262</v>
      </c>
      <c r="H51" s="192" t="s">
        <v>502</v>
      </c>
      <c r="I51" s="192" t="s">
        <v>485</v>
      </c>
      <c r="J51" s="194" t="s">
        <v>503</v>
      </c>
      <c r="K51" s="164" t="s">
        <v>220</v>
      </c>
      <c r="L51" s="161" t="s">
        <v>140</v>
      </c>
      <c r="M51" s="163" t="s">
        <v>180</v>
      </c>
      <c r="N51" s="179" t="s">
        <v>62</v>
      </c>
      <c r="O51" s="198" t="s">
        <v>59</v>
      </c>
      <c r="P51" s="200">
        <v>1.69</v>
      </c>
      <c r="Q51" s="202">
        <v>1.78</v>
      </c>
      <c r="R51" s="60"/>
      <c r="S51" s="60"/>
      <c r="T51" s="58"/>
      <c r="U51" s="132" t="str">
        <f t="shared" si="1"/>
        <v/>
      </c>
      <c r="V51" s="62"/>
      <c r="W51" s="62"/>
      <c r="X51" s="63"/>
      <c r="Y51" s="226" t="str">
        <f>IF(Q51&lt;&gt;"",IF(Q51&lt;=1.2,IF(O51="A","CR",IF(V51&lt;&gt;"",IF(Parametre_2018!N$4=1,IF(LEFT(V51,1)="1",IF(V51&lt;&gt;"",IF(Parametre_2018!O$4&lt;&gt;"",IF(N51&lt;=Parametre_2018!O$4,IF(V51&lt;&gt;"",IF(Parametre_2018!P$4&lt;&gt;"",IF(O51&lt;=Parametre_2018!P$4,"PLD",""),"PLD"),""),""),IF(V51&lt;&gt;"",IF(Parametre_2018!P$4&lt;&gt;"",IF(O51&lt;=Parametre_2018!P$4,"PLD",""),"PLD"),"")),""),""),IF(V51&lt;&gt;"",IF(Parametre_2018!O$4&lt;&gt;"",IF(N51&lt;=Parametre_2018!O$4,IF(V51&lt;&gt;"",IF(Parametre_2018!P$4&lt;&gt;"",IF(O51&lt;=Parametre_2018!P$4,"PLD",""),"PLD"),""),""),IF(V51&lt;&gt;"",IF(Parametre_2018!P$4&lt;&gt;"",IF(O51&lt;=Parametre_2018!P$4,"PLD",""),"PLD"),"")),"")),"")),IF(V51&lt;&gt;"",IF(Parametre_2018!N$4=1,IF(LEFT(V51,1)="1",IF(V51&lt;&gt;"",IF(Parametre_2018!O$4&lt;&gt;"",IF(N51&lt;=Parametre_2018!O$4,IF(V51&lt;&gt;"",IF(Parametre_2018!P$4&lt;&gt;"",IF(O51&lt;=Parametre_2018!P$4,"PLD",""),"PLD"),""),""),IF(V51&lt;&gt;"",IF(Parametre_2018!P$4&lt;&gt;"",IF(O51&lt;=Parametre_2018!P$4,"PLD",""),"PLD"),"")),""),""),IF(V51&lt;&gt;"",IF(Parametre_2018!O$4&lt;&gt;"",IF(N51&lt;=Parametre_2018!O$4,IF(V51&lt;&gt;"",IF(Parametre_2018!P$4&lt;&gt;"",IF(O51&lt;=Parametre_2018!P$4,"PLD",""),"PLD"),""),""),IF(V51&lt;&gt;"",IF(Parametre_2018!P$4&lt;&gt;"",IF(O51&lt;=Parametre_2018!P$4,"PLD",""),"PLD"),"")),"")),"")),"")</f>
        <v/>
      </c>
      <c r="Z51" s="58"/>
      <c r="AA51" s="227"/>
      <c r="AB51" s="228" t="str">
        <f>IF(Q51&lt;&gt;"",IF(Q51&lt;=Parametre_2018!B$4,IF(Parametre_2018!C$4&lt;&gt;"",IF(N51&lt;=Parametre_2018!C$4,IF(Parametre_2018!D$4&lt;&gt;"",IF(O51&lt;=Parametre_2018!D$4,"MCL",IF(Parametre_2018!I$4&lt;&gt;"",IF(N51&lt;=Parametre_2018!I$4,IF(Parametre_2018!J$4&lt;&gt;"",IF(O51&lt;=Parametre_2018!J$4,"CL",""),"CL"),""),IF(Parametre_2018!J$4&lt;&gt;"",IF(O51&lt;=Parametre_2018!J$4,"CL",""),"CL"))),"MCL"),IF(Parametre_2018!I$4&lt;&gt;"",IF(N51&lt;=Parametre_2018!I$4,IF(Parametre_2018!J$4&lt;&gt;"",IF(O51&lt;=Parametre_2018!J$4,"CL",""),"CL"),""),IF(Parametre_2018!J$4&lt;&gt;"",IF(O51&lt;=Parametre_2018!J$4,"CL",""),"CL"))),IF(Parametre_2018!D$4&lt;&gt;"",IF(O51&lt;=Parametre_2018!D$4,"MCL",IF(Parametre_2018!I$4&lt;&gt;"",IF(N51&lt;=Parametre_2018!I$4,IF(Parametre_2018!J$4&lt;&gt;"",IF(O51&lt;=Parametre_2018!J$4,"CL",""),"CL"),""),IF(Parametre_2018!J$4&lt;&gt;"",IF(O51&lt;=Parametre_2018!J$4,"CL",""),"CL"))),"MCL")),IF(Q51&lt;&gt;"",IF(AND(Q51&gt;Parametre_2018!B$4,Q51&lt;=Parametre_2018!H$4),IF(Parametre_2018!I$4&lt;&gt;"",IF(N51&lt;=Parametre_2018!I$4,IF(Parametre_2018!J$4&lt;&gt;"",IF(O51&lt;=Parametre_2018!J$4,"CL",""),"CL"),""),IF(Parametre_2018!J$4&lt;&gt;"",IF(O51&lt;=Parametre_2018!J$4,"CL",""),"CL")),""),"")),"")</f>
        <v/>
      </c>
      <c r="AC51" s="89"/>
      <c r="AD51" s="75"/>
      <c r="AE51" s="63"/>
      <c r="AF51" s="63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</row>
    <row r="52" spans="1:58" s="2" customFormat="1" ht="30" customHeight="1" x14ac:dyDescent="0.25">
      <c r="A52" s="152">
        <v>72</v>
      </c>
      <c r="B52" s="152" t="s">
        <v>62</v>
      </c>
      <c r="C52" s="183" t="s">
        <v>411</v>
      </c>
      <c r="D52" s="183" t="s">
        <v>412</v>
      </c>
      <c r="E52" s="184" t="s">
        <v>50</v>
      </c>
      <c r="F52" s="185" t="s">
        <v>471</v>
      </c>
      <c r="G52" s="195">
        <v>43262</v>
      </c>
      <c r="H52" s="187" t="s">
        <v>491</v>
      </c>
      <c r="I52" s="192" t="s">
        <v>44</v>
      </c>
      <c r="J52" s="216" t="s">
        <v>492</v>
      </c>
      <c r="K52" s="164" t="s">
        <v>258</v>
      </c>
      <c r="L52" s="161" t="s">
        <v>120</v>
      </c>
      <c r="M52" s="163" t="s">
        <v>119</v>
      </c>
      <c r="N52" s="178" t="s">
        <v>60</v>
      </c>
      <c r="O52" s="198" t="s">
        <v>60</v>
      </c>
      <c r="P52" s="200">
        <v>1.75</v>
      </c>
      <c r="Q52" s="202">
        <v>1.78</v>
      </c>
      <c r="R52" s="154"/>
      <c r="S52" s="153"/>
      <c r="T52" s="153"/>
      <c r="U52" s="132" t="str">
        <f t="shared" si="1"/>
        <v/>
      </c>
      <c r="V52" s="152"/>
      <c r="W52" s="204" t="s">
        <v>62</v>
      </c>
      <c r="X52" s="153"/>
      <c r="Y52" s="226" t="str">
        <f>IF(Q52&lt;&gt;"",IF(Q52&lt;=1.2,IF(O52="A","CR",IF(V52&lt;&gt;"",IF(Parametre_2018!N$4=1,IF(LEFT(V52,1)="1",IF(V52&lt;&gt;"",IF(Parametre_2018!O$4&lt;&gt;"",IF(N52&lt;=Parametre_2018!O$4,IF(V52&lt;&gt;"",IF(Parametre_2018!P$4&lt;&gt;"",IF(O52&lt;=Parametre_2018!P$4,"PLD",""),"PLD"),""),""),IF(V52&lt;&gt;"",IF(Parametre_2018!P$4&lt;&gt;"",IF(O52&lt;=Parametre_2018!P$4,"PLD",""),"PLD"),"")),""),""),IF(V52&lt;&gt;"",IF(Parametre_2018!O$4&lt;&gt;"",IF(N52&lt;=Parametre_2018!O$4,IF(V52&lt;&gt;"",IF(Parametre_2018!P$4&lt;&gt;"",IF(O52&lt;=Parametre_2018!P$4,"PLD",""),"PLD"),""),""),IF(V52&lt;&gt;"",IF(Parametre_2018!P$4&lt;&gt;"",IF(O52&lt;=Parametre_2018!P$4,"PLD",""),"PLD"),"")),"")),"")),IF(V52&lt;&gt;"",IF(Parametre_2018!N$4=1,IF(LEFT(V52,1)="1",IF(V52&lt;&gt;"",IF(Parametre_2018!O$4&lt;&gt;"",IF(N52&lt;=Parametre_2018!O$4,IF(V52&lt;&gt;"",IF(Parametre_2018!P$4&lt;&gt;"",IF(O52&lt;=Parametre_2018!P$4,"PLD",""),"PLD"),""),""),IF(V52&lt;&gt;"",IF(Parametre_2018!P$4&lt;&gt;"",IF(O52&lt;=Parametre_2018!P$4,"PLD",""),"PLD"),"")),""),""),IF(V52&lt;&gt;"",IF(Parametre_2018!O$4&lt;&gt;"",IF(N52&lt;=Parametre_2018!O$4,IF(V52&lt;&gt;"",IF(Parametre_2018!P$4&lt;&gt;"",IF(O52&lt;=Parametre_2018!P$4,"PLD",""),"PLD"),""),""),IF(V52&lt;&gt;"",IF(Parametre_2018!P$4&lt;&gt;"",IF(O52&lt;=Parametre_2018!P$4,"PLD",""),"PLD"),"")),"")),"")),"")</f>
        <v/>
      </c>
      <c r="Z52" s="152"/>
      <c r="AA52" s="227"/>
      <c r="AB52" s="228" t="str">
        <f>IF(Q52&lt;&gt;"",IF(Q52&lt;=Parametre_2018!B$4,IF(Parametre_2018!C$4&lt;&gt;"",IF(N52&lt;=Parametre_2018!C$4,IF(Parametre_2018!D$4&lt;&gt;"",IF(O52&lt;=Parametre_2018!D$4,"MCL",IF(Parametre_2018!I$4&lt;&gt;"",IF(N52&lt;=Parametre_2018!I$4,IF(Parametre_2018!J$4&lt;&gt;"",IF(O52&lt;=Parametre_2018!J$4,"CL",""),"CL"),""),IF(Parametre_2018!J$4&lt;&gt;"",IF(O52&lt;=Parametre_2018!J$4,"CL",""),"CL"))),"MCL"),IF(Parametre_2018!I$4&lt;&gt;"",IF(N52&lt;=Parametre_2018!I$4,IF(Parametre_2018!J$4&lt;&gt;"",IF(O52&lt;=Parametre_2018!J$4,"CL",""),"CL"),""),IF(Parametre_2018!J$4&lt;&gt;"",IF(O52&lt;=Parametre_2018!J$4,"CL",""),"CL"))),IF(Parametre_2018!D$4&lt;&gt;"",IF(O52&lt;=Parametre_2018!D$4,"MCL",IF(Parametre_2018!I$4&lt;&gt;"",IF(N52&lt;=Parametre_2018!I$4,IF(Parametre_2018!J$4&lt;&gt;"",IF(O52&lt;=Parametre_2018!J$4,"CL",""),"CL"),""),IF(Parametre_2018!J$4&lt;&gt;"",IF(O52&lt;=Parametre_2018!J$4,"CL",""),"CL"))),"MCL")),IF(Q52&lt;&gt;"",IF(AND(Q52&gt;Parametre_2018!B$4,Q52&lt;=Parametre_2018!H$4),IF(Parametre_2018!I$4&lt;&gt;"",IF(N52&lt;=Parametre_2018!I$4,IF(Parametre_2018!J$4&lt;&gt;"",IF(O52&lt;=Parametre_2018!J$4,"CL",""),"CL"),""),IF(Parametre_2018!J$4&lt;&gt;"",IF(O52&lt;=Parametre_2018!J$4,"CL",""),"CL")),""),"")),"")</f>
        <v/>
      </c>
      <c r="AC52" s="153"/>
      <c r="AD52" s="74"/>
      <c r="AE52" s="153"/>
      <c r="AF52" s="153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  <c r="AS52" s="119"/>
      <c r="AT52" s="119"/>
      <c r="AU52" s="119"/>
      <c r="AV52" s="119"/>
      <c r="AW52" s="119"/>
      <c r="AX52" s="119"/>
      <c r="AY52" s="119"/>
    </row>
    <row r="53" spans="1:58" s="2" customFormat="1" ht="30" customHeight="1" x14ac:dyDescent="0.25">
      <c r="A53" s="152">
        <v>111</v>
      </c>
      <c r="B53" s="152" t="s">
        <v>62</v>
      </c>
      <c r="C53" s="183" t="s">
        <v>56</v>
      </c>
      <c r="D53" s="183" t="s">
        <v>335</v>
      </c>
      <c r="E53" s="184" t="s">
        <v>50</v>
      </c>
      <c r="F53" s="185" t="s">
        <v>470</v>
      </c>
      <c r="G53" s="195">
        <v>43262</v>
      </c>
      <c r="H53" s="192" t="s">
        <v>500</v>
      </c>
      <c r="I53" s="192" t="s">
        <v>482</v>
      </c>
      <c r="J53" s="194" t="s">
        <v>501</v>
      </c>
      <c r="K53" s="164" t="s">
        <v>297</v>
      </c>
      <c r="L53" s="161" t="s">
        <v>168</v>
      </c>
      <c r="M53" s="163" t="s">
        <v>134</v>
      </c>
      <c r="N53" s="178" t="s">
        <v>62</v>
      </c>
      <c r="O53" s="198" t="s">
        <v>59</v>
      </c>
      <c r="P53" s="200">
        <v>1.73</v>
      </c>
      <c r="Q53" s="202">
        <v>1.78</v>
      </c>
      <c r="R53" s="213"/>
      <c r="S53" s="174"/>
      <c r="T53" s="174"/>
      <c r="U53" s="132" t="str">
        <f t="shared" si="1"/>
        <v/>
      </c>
      <c r="V53" s="152"/>
      <c r="W53" s="152"/>
      <c r="X53" s="155"/>
      <c r="Y53" s="226" t="str">
        <f>IF(Q53&lt;&gt;"",IF(Q53&lt;=1.2,IF(O53="A","CR",IF(V53&lt;&gt;"",IF(Parametre_2018!N$4=1,IF(LEFT(V53,1)="1",IF(V53&lt;&gt;"",IF(Parametre_2018!O$4&lt;&gt;"",IF(N53&lt;=Parametre_2018!O$4,IF(V53&lt;&gt;"",IF(Parametre_2018!P$4&lt;&gt;"",IF(O53&lt;=Parametre_2018!P$4,"PLD",""),"PLD"),""),""),IF(V53&lt;&gt;"",IF(Parametre_2018!P$4&lt;&gt;"",IF(O53&lt;=Parametre_2018!P$4,"PLD",""),"PLD"),"")),""),""),IF(V53&lt;&gt;"",IF(Parametre_2018!O$4&lt;&gt;"",IF(N53&lt;=Parametre_2018!O$4,IF(V53&lt;&gt;"",IF(Parametre_2018!P$4&lt;&gt;"",IF(O53&lt;=Parametre_2018!P$4,"PLD",""),"PLD"),""),""),IF(V53&lt;&gt;"",IF(Parametre_2018!P$4&lt;&gt;"",IF(O53&lt;=Parametre_2018!P$4,"PLD",""),"PLD"),"")),"")),"")),IF(V53&lt;&gt;"",IF(Parametre_2018!N$4=1,IF(LEFT(V53,1)="1",IF(V53&lt;&gt;"",IF(Parametre_2018!O$4&lt;&gt;"",IF(N53&lt;=Parametre_2018!O$4,IF(V53&lt;&gt;"",IF(Parametre_2018!P$4&lt;&gt;"",IF(O53&lt;=Parametre_2018!P$4,"PLD",""),"PLD"),""),""),IF(V53&lt;&gt;"",IF(Parametre_2018!P$4&lt;&gt;"",IF(O53&lt;=Parametre_2018!P$4,"PLD",""),"PLD"),"")),""),""),IF(V53&lt;&gt;"",IF(Parametre_2018!O$4&lt;&gt;"",IF(N53&lt;=Parametre_2018!O$4,IF(V53&lt;&gt;"",IF(Parametre_2018!P$4&lt;&gt;"",IF(O53&lt;=Parametre_2018!P$4,"PLD",""),"PLD"),""),""),IF(V53&lt;&gt;"",IF(Parametre_2018!P$4&lt;&gt;"",IF(O53&lt;=Parametre_2018!P$4,"PLD",""),"PLD"),"")),"")),"")),"")</f>
        <v/>
      </c>
      <c r="Z53" s="152"/>
      <c r="AA53" s="227"/>
      <c r="AB53" s="228" t="str">
        <f>IF(Q53&lt;&gt;"",IF(Q53&lt;=Parametre_2018!B$4,IF(Parametre_2018!C$4&lt;&gt;"",IF(N53&lt;=Parametre_2018!C$4,IF(Parametre_2018!D$4&lt;&gt;"",IF(O53&lt;=Parametre_2018!D$4,"MCL",IF(Parametre_2018!I$4&lt;&gt;"",IF(N53&lt;=Parametre_2018!I$4,IF(Parametre_2018!J$4&lt;&gt;"",IF(O53&lt;=Parametre_2018!J$4,"CL",""),"CL"),""),IF(Parametre_2018!J$4&lt;&gt;"",IF(O53&lt;=Parametre_2018!J$4,"CL",""),"CL"))),"MCL"),IF(Parametre_2018!I$4&lt;&gt;"",IF(N53&lt;=Parametre_2018!I$4,IF(Parametre_2018!J$4&lt;&gt;"",IF(O53&lt;=Parametre_2018!J$4,"CL",""),"CL"),""),IF(Parametre_2018!J$4&lt;&gt;"",IF(O53&lt;=Parametre_2018!J$4,"CL",""),"CL"))),IF(Parametre_2018!D$4&lt;&gt;"",IF(O53&lt;=Parametre_2018!D$4,"MCL",IF(Parametre_2018!I$4&lt;&gt;"",IF(N53&lt;=Parametre_2018!I$4,IF(Parametre_2018!J$4&lt;&gt;"",IF(O53&lt;=Parametre_2018!J$4,"CL",""),"CL"),""),IF(Parametre_2018!J$4&lt;&gt;"",IF(O53&lt;=Parametre_2018!J$4,"CL",""),"CL"))),"MCL")),IF(Q53&lt;&gt;"",IF(AND(Q53&gt;Parametre_2018!B$4,Q53&lt;=Parametre_2018!H$4),IF(Parametre_2018!I$4&lt;&gt;"",IF(N53&lt;=Parametre_2018!I$4,IF(Parametre_2018!J$4&lt;&gt;"",IF(O53&lt;=Parametre_2018!J$4,"CL",""),"CL"),""),IF(Parametre_2018!J$4&lt;&gt;"",IF(O53&lt;=Parametre_2018!J$4,"CL",""),"CL")),""),"")),"")</f>
        <v/>
      </c>
      <c r="AC53" s="155"/>
      <c r="AD53" s="74"/>
      <c r="AE53" s="155"/>
      <c r="AF53" s="175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  <c r="AS53" s="119"/>
      <c r="AT53" s="119"/>
      <c r="AU53" s="119"/>
      <c r="AV53" s="119"/>
      <c r="AW53" s="119"/>
      <c r="AX53" s="119"/>
      <c r="AY53" s="119"/>
    </row>
    <row r="54" spans="1:58" s="2" customFormat="1" ht="54" customHeight="1" x14ac:dyDescent="0.25">
      <c r="A54" s="152">
        <v>51</v>
      </c>
      <c r="B54" s="152" t="s">
        <v>62</v>
      </c>
      <c r="C54" s="183" t="s">
        <v>384</v>
      </c>
      <c r="D54" s="183" t="s">
        <v>378</v>
      </c>
      <c r="E54" s="184" t="s">
        <v>50</v>
      </c>
      <c r="F54" s="185" t="s">
        <v>470</v>
      </c>
      <c r="G54" s="195">
        <v>43262</v>
      </c>
      <c r="H54" s="192" t="s">
        <v>498</v>
      </c>
      <c r="I54" s="192" t="s">
        <v>480</v>
      </c>
      <c r="J54" s="172" t="s">
        <v>499</v>
      </c>
      <c r="K54" s="164" t="s">
        <v>237</v>
      </c>
      <c r="L54" s="161" t="s">
        <v>148</v>
      </c>
      <c r="M54" s="163" t="s">
        <v>146</v>
      </c>
      <c r="N54" s="181" t="s">
        <v>60</v>
      </c>
      <c r="O54" s="198" t="s">
        <v>60</v>
      </c>
      <c r="P54" s="200">
        <v>1.84</v>
      </c>
      <c r="Q54" s="202">
        <v>1.79</v>
      </c>
      <c r="R54" s="209"/>
      <c r="S54" s="169"/>
      <c r="T54" s="169"/>
      <c r="U54" s="132" t="str">
        <f t="shared" si="1"/>
        <v/>
      </c>
      <c r="V54" s="220"/>
      <c r="W54" s="220"/>
      <c r="X54" s="220" t="s">
        <v>62</v>
      </c>
      <c r="Y54" s="226" t="str">
        <f>IF(Q54&lt;&gt;"",IF(Q54&lt;=1.2,IF(O54="A","CR",IF(V54&lt;&gt;"",IF(Parametre_2018!N$4=1,IF(LEFT(V54,1)="1",IF(V54&lt;&gt;"",IF(Parametre_2018!O$4&lt;&gt;"",IF(N54&lt;=Parametre_2018!O$4,IF(V54&lt;&gt;"",IF(Parametre_2018!P$4&lt;&gt;"",IF(O54&lt;=Parametre_2018!P$4,"PLD",""),"PLD"),""),""),IF(V54&lt;&gt;"",IF(Parametre_2018!P$4&lt;&gt;"",IF(O54&lt;=Parametre_2018!P$4,"PLD",""),"PLD"),"")),""),""),IF(V54&lt;&gt;"",IF(Parametre_2018!O$4&lt;&gt;"",IF(N54&lt;=Parametre_2018!O$4,IF(V54&lt;&gt;"",IF(Parametre_2018!P$4&lt;&gt;"",IF(O54&lt;=Parametre_2018!P$4,"PLD",""),"PLD"),""),""),IF(V54&lt;&gt;"",IF(Parametre_2018!P$4&lt;&gt;"",IF(O54&lt;=Parametre_2018!P$4,"PLD",""),"PLD"),"")),"")),"")),IF(V54&lt;&gt;"",IF(Parametre_2018!N$4=1,IF(LEFT(V54,1)="1",IF(V54&lt;&gt;"",IF(Parametre_2018!O$4&lt;&gt;"",IF(N54&lt;=Parametre_2018!O$4,IF(V54&lt;&gt;"",IF(Parametre_2018!P$4&lt;&gt;"",IF(O54&lt;=Parametre_2018!P$4,"PLD",""),"PLD"),""),""),IF(V54&lt;&gt;"",IF(Parametre_2018!P$4&lt;&gt;"",IF(O54&lt;=Parametre_2018!P$4,"PLD",""),"PLD"),"")),""),""),IF(V54&lt;&gt;"",IF(Parametre_2018!O$4&lt;&gt;"",IF(N54&lt;=Parametre_2018!O$4,IF(V54&lt;&gt;"",IF(Parametre_2018!P$4&lt;&gt;"",IF(O54&lt;=Parametre_2018!P$4,"PLD",""),"PLD"),""),""),IF(V54&lt;&gt;"",IF(Parametre_2018!P$4&lt;&gt;"",IF(O54&lt;=Parametre_2018!P$4,"PLD",""),"PLD"),"")),"")),"")),"")</f>
        <v/>
      </c>
      <c r="Z54" s="220"/>
      <c r="AA54" s="227"/>
      <c r="AB54" s="228" t="str">
        <f>IF(Q54&lt;&gt;"",IF(Q54&lt;=Parametre_2018!B$4,IF(Parametre_2018!C$4&lt;&gt;"",IF(N54&lt;=Parametre_2018!C$4,IF(Parametre_2018!D$4&lt;&gt;"",IF(O54&lt;=Parametre_2018!D$4,"MCL",IF(Parametre_2018!I$4&lt;&gt;"",IF(N54&lt;=Parametre_2018!I$4,IF(Parametre_2018!J$4&lt;&gt;"",IF(O54&lt;=Parametre_2018!J$4,"CL",""),"CL"),""),IF(Parametre_2018!J$4&lt;&gt;"",IF(O54&lt;=Parametre_2018!J$4,"CL",""),"CL"))),"MCL"),IF(Parametre_2018!I$4&lt;&gt;"",IF(N54&lt;=Parametre_2018!I$4,IF(Parametre_2018!J$4&lt;&gt;"",IF(O54&lt;=Parametre_2018!J$4,"CL",""),"CL"),""),IF(Parametre_2018!J$4&lt;&gt;"",IF(O54&lt;=Parametre_2018!J$4,"CL",""),"CL"))),IF(Parametre_2018!D$4&lt;&gt;"",IF(O54&lt;=Parametre_2018!D$4,"MCL",IF(Parametre_2018!I$4&lt;&gt;"",IF(N54&lt;=Parametre_2018!I$4,IF(Parametre_2018!J$4&lt;&gt;"",IF(O54&lt;=Parametre_2018!J$4,"CL",""),"CL"),""),IF(Parametre_2018!J$4&lt;&gt;"",IF(O54&lt;=Parametre_2018!J$4,"CL",""),"CL"))),"MCL")),IF(Q54&lt;&gt;"",IF(AND(Q54&gt;Parametre_2018!B$4,Q54&lt;=Parametre_2018!H$4),IF(Parametre_2018!I$4&lt;&gt;"",IF(N54&lt;=Parametre_2018!I$4,IF(Parametre_2018!J$4&lt;&gt;"",IF(O54&lt;=Parametre_2018!J$4,"CL",""),"CL"),""),IF(Parametre_2018!J$4&lt;&gt;"",IF(O54&lt;=Parametre_2018!J$4,"CL",""),"CL")),""),"")),"")</f>
        <v/>
      </c>
      <c r="AC54" s="169"/>
      <c r="AD54" s="74"/>
      <c r="AE54" s="169"/>
      <c r="AF54" s="16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</row>
    <row r="55" spans="1:58" s="3" customFormat="1" ht="24" customHeight="1" x14ac:dyDescent="0.25">
      <c r="A55" s="152">
        <v>22</v>
      </c>
      <c r="B55" s="152" t="s">
        <v>62</v>
      </c>
      <c r="C55" s="183" t="s">
        <v>341</v>
      </c>
      <c r="D55" s="183" t="s">
        <v>325</v>
      </c>
      <c r="E55" s="184" t="s">
        <v>50</v>
      </c>
      <c r="F55" s="185" t="s">
        <v>470</v>
      </c>
      <c r="G55" s="195">
        <v>43262</v>
      </c>
      <c r="H55" s="192" t="s">
        <v>498</v>
      </c>
      <c r="I55" s="191" t="s">
        <v>480</v>
      </c>
      <c r="J55" s="169" t="s">
        <v>499</v>
      </c>
      <c r="K55" s="164" t="s">
        <v>208</v>
      </c>
      <c r="L55" s="161" t="s">
        <v>134</v>
      </c>
      <c r="M55" s="163" t="s">
        <v>178</v>
      </c>
      <c r="N55" s="178" t="s">
        <v>62</v>
      </c>
      <c r="O55" s="198" t="s">
        <v>60</v>
      </c>
      <c r="P55" s="200">
        <v>1.85</v>
      </c>
      <c r="Q55" s="202">
        <v>1.8</v>
      </c>
      <c r="R55" s="152"/>
      <c r="S55" s="152"/>
      <c r="T55" s="152"/>
      <c r="U55" s="132" t="str">
        <f t="shared" si="1"/>
        <v/>
      </c>
      <c r="V55" s="55"/>
      <c r="W55" s="55"/>
      <c r="X55" s="58"/>
      <c r="Y55" s="226" t="str">
        <f>IF(Q55&lt;&gt;"",IF(Q55&lt;=1.2,IF(O55="A","CR",IF(V55&lt;&gt;"",IF(Parametre_2018!N$4=1,IF(LEFT(V55,1)="1",IF(V55&lt;&gt;"",IF(Parametre_2018!O$4&lt;&gt;"",IF(N55&lt;=Parametre_2018!O$4,IF(V55&lt;&gt;"",IF(Parametre_2018!P$4&lt;&gt;"",IF(O55&lt;=Parametre_2018!P$4,"PLD",""),"PLD"),""),""),IF(V55&lt;&gt;"",IF(Parametre_2018!P$4&lt;&gt;"",IF(O55&lt;=Parametre_2018!P$4,"PLD",""),"PLD"),"")),""),""),IF(V55&lt;&gt;"",IF(Parametre_2018!O$4&lt;&gt;"",IF(N55&lt;=Parametre_2018!O$4,IF(V55&lt;&gt;"",IF(Parametre_2018!P$4&lt;&gt;"",IF(O55&lt;=Parametre_2018!P$4,"PLD",""),"PLD"),""),""),IF(V55&lt;&gt;"",IF(Parametre_2018!P$4&lt;&gt;"",IF(O55&lt;=Parametre_2018!P$4,"PLD",""),"PLD"),"")),"")),"")),IF(V55&lt;&gt;"",IF(Parametre_2018!N$4=1,IF(LEFT(V55,1)="1",IF(V55&lt;&gt;"",IF(Parametre_2018!O$4&lt;&gt;"",IF(N55&lt;=Parametre_2018!O$4,IF(V55&lt;&gt;"",IF(Parametre_2018!P$4&lt;&gt;"",IF(O55&lt;=Parametre_2018!P$4,"PLD",""),"PLD"),""),""),IF(V55&lt;&gt;"",IF(Parametre_2018!P$4&lt;&gt;"",IF(O55&lt;=Parametre_2018!P$4,"PLD",""),"PLD"),"")),""),""),IF(V55&lt;&gt;"",IF(Parametre_2018!O$4&lt;&gt;"",IF(N55&lt;=Parametre_2018!O$4,IF(V55&lt;&gt;"",IF(Parametre_2018!P$4&lt;&gt;"",IF(O55&lt;=Parametre_2018!P$4,"PLD",""),"PLD"),""),""),IF(V55&lt;&gt;"",IF(Parametre_2018!P$4&lt;&gt;"",IF(O55&lt;=Parametre_2018!P$4,"PLD",""),"PLD"),"")),"")),"")),"")</f>
        <v/>
      </c>
      <c r="Z55" s="58"/>
      <c r="AA55" s="227"/>
      <c r="AB55" s="228" t="str">
        <f>IF(Q55&lt;&gt;"",IF(Q55&lt;=Parametre_2018!B$4,IF(Parametre_2018!C$4&lt;&gt;"",IF(N55&lt;=Parametre_2018!C$4,IF(Parametre_2018!D$4&lt;&gt;"",IF(O55&lt;=Parametre_2018!D$4,"MCL",IF(Parametre_2018!I$4&lt;&gt;"",IF(N55&lt;=Parametre_2018!I$4,IF(Parametre_2018!J$4&lt;&gt;"",IF(O55&lt;=Parametre_2018!J$4,"CL",""),"CL"),""),IF(Parametre_2018!J$4&lt;&gt;"",IF(O55&lt;=Parametre_2018!J$4,"CL",""),"CL"))),"MCL"),IF(Parametre_2018!I$4&lt;&gt;"",IF(N55&lt;=Parametre_2018!I$4,IF(Parametre_2018!J$4&lt;&gt;"",IF(O55&lt;=Parametre_2018!J$4,"CL",""),"CL"),""),IF(Parametre_2018!J$4&lt;&gt;"",IF(O55&lt;=Parametre_2018!J$4,"CL",""),"CL"))),IF(Parametre_2018!D$4&lt;&gt;"",IF(O55&lt;=Parametre_2018!D$4,"MCL",IF(Parametre_2018!I$4&lt;&gt;"",IF(N55&lt;=Parametre_2018!I$4,IF(Parametre_2018!J$4&lt;&gt;"",IF(O55&lt;=Parametre_2018!J$4,"CL",""),"CL"),""),IF(Parametre_2018!J$4&lt;&gt;"",IF(O55&lt;=Parametre_2018!J$4,"CL",""),"CL"))),"MCL")),IF(Q55&lt;&gt;"",IF(AND(Q55&gt;Parametre_2018!B$4,Q55&lt;=Parametre_2018!H$4),IF(Parametre_2018!I$4&lt;&gt;"",IF(N55&lt;=Parametre_2018!I$4,IF(Parametre_2018!J$4&lt;&gt;"",IF(O55&lt;=Parametre_2018!J$4,"CL",""),"CL"),""),IF(Parametre_2018!J$4&lt;&gt;"",IF(O55&lt;=Parametre_2018!J$4,"CL",""),"CL")),""),"")),"")</f>
        <v/>
      </c>
      <c r="AC55" s="89"/>
      <c r="AD55" s="74"/>
      <c r="AE55" s="77"/>
      <c r="AF55" s="54"/>
      <c r="AI55" s="119"/>
      <c r="AJ55" s="119"/>
      <c r="AK55" s="119"/>
      <c r="AL55" s="119"/>
      <c r="AM55" s="119"/>
      <c r="AN55" s="119"/>
      <c r="AO55" s="119"/>
      <c r="AP55" s="119"/>
      <c r="AQ55" s="119"/>
      <c r="AR55" s="119"/>
      <c r="AS55" s="119"/>
      <c r="AT55" s="119"/>
      <c r="AU55" s="119"/>
      <c r="AV55" s="119"/>
      <c r="AW55" s="119"/>
      <c r="AX55" s="119"/>
      <c r="AY55" s="119"/>
    </row>
    <row r="56" spans="1:58" s="4" customFormat="1" ht="35.25" customHeight="1" x14ac:dyDescent="0.25">
      <c r="A56" s="152">
        <v>43</v>
      </c>
      <c r="B56" s="152" t="s">
        <v>62</v>
      </c>
      <c r="C56" s="183" t="s">
        <v>374</v>
      </c>
      <c r="D56" s="183" t="s">
        <v>375</v>
      </c>
      <c r="E56" s="184" t="s">
        <v>50</v>
      </c>
      <c r="F56" s="185" t="s">
        <v>470</v>
      </c>
      <c r="G56" s="195">
        <v>43262</v>
      </c>
      <c r="H56" s="192" t="s">
        <v>502</v>
      </c>
      <c r="I56" s="192" t="s">
        <v>485</v>
      </c>
      <c r="J56" s="194" t="s">
        <v>503</v>
      </c>
      <c r="K56" s="164" t="s">
        <v>229</v>
      </c>
      <c r="L56" s="161" t="s">
        <v>141</v>
      </c>
      <c r="M56" s="163" t="s">
        <v>128</v>
      </c>
      <c r="N56" s="179" t="s">
        <v>60</v>
      </c>
      <c r="O56" s="198" t="s">
        <v>62</v>
      </c>
      <c r="P56" s="200">
        <v>1.91</v>
      </c>
      <c r="Q56" s="202">
        <v>1.81</v>
      </c>
      <c r="R56" s="60"/>
      <c r="S56" s="60"/>
      <c r="T56" s="58"/>
      <c r="U56" s="132" t="str">
        <f t="shared" si="1"/>
        <v/>
      </c>
      <c r="V56" s="55"/>
      <c r="W56" s="55"/>
      <c r="X56" s="54"/>
      <c r="Y56" s="226" t="str">
        <f>IF(Q56&lt;&gt;"",IF(Q56&lt;=1.2,IF(O56="A","CR",IF(V56&lt;&gt;"",IF(Parametre_2018!N$4=1,IF(LEFT(V56,1)="1",IF(V56&lt;&gt;"",IF(Parametre_2018!O$4&lt;&gt;"",IF(N56&lt;=Parametre_2018!O$4,IF(V56&lt;&gt;"",IF(Parametre_2018!P$4&lt;&gt;"",IF(O56&lt;=Parametre_2018!P$4,"PLD",""),"PLD"),""),""),IF(V56&lt;&gt;"",IF(Parametre_2018!P$4&lt;&gt;"",IF(O56&lt;=Parametre_2018!P$4,"PLD",""),"PLD"),"")),""),""),IF(V56&lt;&gt;"",IF(Parametre_2018!O$4&lt;&gt;"",IF(N56&lt;=Parametre_2018!O$4,IF(V56&lt;&gt;"",IF(Parametre_2018!P$4&lt;&gt;"",IF(O56&lt;=Parametre_2018!P$4,"PLD",""),"PLD"),""),""),IF(V56&lt;&gt;"",IF(Parametre_2018!P$4&lt;&gt;"",IF(O56&lt;=Parametre_2018!P$4,"PLD",""),"PLD"),"")),"")),"")),IF(V56&lt;&gt;"",IF(Parametre_2018!N$4=1,IF(LEFT(V56,1)="1",IF(V56&lt;&gt;"",IF(Parametre_2018!O$4&lt;&gt;"",IF(N56&lt;=Parametre_2018!O$4,IF(V56&lt;&gt;"",IF(Parametre_2018!P$4&lt;&gt;"",IF(O56&lt;=Parametre_2018!P$4,"PLD",""),"PLD"),""),""),IF(V56&lt;&gt;"",IF(Parametre_2018!P$4&lt;&gt;"",IF(O56&lt;=Parametre_2018!P$4,"PLD",""),"PLD"),"")),""),""),IF(V56&lt;&gt;"",IF(Parametre_2018!O$4&lt;&gt;"",IF(N56&lt;=Parametre_2018!O$4,IF(V56&lt;&gt;"",IF(Parametre_2018!P$4&lt;&gt;"",IF(O56&lt;=Parametre_2018!P$4,"PLD",""),"PLD"),""),""),IF(V56&lt;&gt;"",IF(Parametre_2018!P$4&lt;&gt;"",IF(O56&lt;=Parametre_2018!P$4,"PLD",""),"PLD"),"")),"")),"")),"")</f>
        <v/>
      </c>
      <c r="Z56" s="58"/>
      <c r="AA56" s="227"/>
      <c r="AB56" s="228" t="str">
        <f>IF(Q56&lt;&gt;"",IF(Q56&lt;=Parametre_2018!B$4,IF(Parametre_2018!C$4&lt;&gt;"",IF(N56&lt;=Parametre_2018!C$4,IF(Parametre_2018!D$4&lt;&gt;"",IF(O56&lt;=Parametre_2018!D$4,"MCL",IF(Parametre_2018!I$4&lt;&gt;"",IF(N56&lt;=Parametre_2018!I$4,IF(Parametre_2018!J$4&lt;&gt;"",IF(O56&lt;=Parametre_2018!J$4,"CL",""),"CL"),""),IF(Parametre_2018!J$4&lt;&gt;"",IF(O56&lt;=Parametre_2018!J$4,"CL",""),"CL"))),"MCL"),IF(Parametre_2018!I$4&lt;&gt;"",IF(N56&lt;=Parametre_2018!I$4,IF(Parametre_2018!J$4&lt;&gt;"",IF(O56&lt;=Parametre_2018!J$4,"CL",""),"CL"),""),IF(Parametre_2018!J$4&lt;&gt;"",IF(O56&lt;=Parametre_2018!J$4,"CL",""),"CL"))),IF(Parametre_2018!D$4&lt;&gt;"",IF(O56&lt;=Parametre_2018!D$4,"MCL",IF(Parametre_2018!I$4&lt;&gt;"",IF(N56&lt;=Parametre_2018!I$4,IF(Parametre_2018!J$4&lt;&gt;"",IF(O56&lt;=Parametre_2018!J$4,"CL",""),"CL"),""),IF(Parametre_2018!J$4&lt;&gt;"",IF(O56&lt;=Parametre_2018!J$4,"CL",""),"CL"))),"MCL")),IF(Q56&lt;&gt;"",IF(AND(Q56&gt;Parametre_2018!B$4,Q56&lt;=Parametre_2018!H$4),IF(Parametre_2018!I$4&lt;&gt;"",IF(N56&lt;=Parametre_2018!I$4,IF(Parametre_2018!J$4&lt;&gt;"",IF(O56&lt;=Parametre_2018!J$4,"CL",""),"CL"),""),IF(Parametre_2018!J$4&lt;&gt;"",IF(O56&lt;=Parametre_2018!J$4,"CL",""),"CL")),""),"")),"")</f>
        <v/>
      </c>
      <c r="AC56" s="89"/>
      <c r="AD56" s="74"/>
      <c r="AE56" s="54"/>
      <c r="AF56" s="54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119"/>
      <c r="AY56" s="119"/>
    </row>
    <row r="57" spans="1:58" s="4" customFormat="1" ht="35.25" customHeight="1" x14ac:dyDescent="0.25">
      <c r="A57" s="152">
        <v>81</v>
      </c>
      <c r="B57" s="152" t="s">
        <v>62</v>
      </c>
      <c r="C57" s="183" t="s">
        <v>423</v>
      </c>
      <c r="D57" s="183" t="s">
        <v>424</v>
      </c>
      <c r="E57" s="184" t="s">
        <v>50</v>
      </c>
      <c r="F57" s="185" t="s">
        <v>471</v>
      </c>
      <c r="G57" s="186">
        <v>43263</v>
      </c>
      <c r="H57" s="192" t="s">
        <v>47</v>
      </c>
      <c r="I57" s="192" t="s">
        <v>19</v>
      </c>
      <c r="J57" s="172" t="s">
        <v>475</v>
      </c>
      <c r="K57" s="164" t="s">
        <v>267</v>
      </c>
      <c r="L57" s="161" t="s">
        <v>150</v>
      </c>
      <c r="M57" s="163" t="s">
        <v>166</v>
      </c>
      <c r="N57" s="178" t="s">
        <v>60</v>
      </c>
      <c r="O57" s="198" t="s">
        <v>60</v>
      </c>
      <c r="P57" s="200">
        <v>1.89</v>
      </c>
      <c r="Q57" s="202">
        <v>1.83</v>
      </c>
      <c r="R57" s="213"/>
      <c r="S57" s="174"/>
      <c r="T57" s="174"/>
      <c r="U57" s="132" t="str">
        <f t="shared" si="1"/>
        <v/>
      </c>
      <c r="V57" s="152"/>
      <c r="W57" s="152"/>
      <c r="X57" s="204" t="s">
        <v>62</v>
      </c>
      <c r="Y57" s="226" t="str">
        <f>IF(Q57&lt;&gt;"",IF(Q57&lt;=1.2,IF(O57="A","CR",IF(V57&lt;&gt;"",IF(Parametre_2018!N$4=1,IF(LEFT(V57,1)="1",IF(V57&lt;&gt;"",IF(Parametre_2018!O$4&lt;&gt;"",IF(N57&lt;=Parametre_2018!O$4,IF(V57&lt;&gt;"",IF(Parametre_2018!P$4&lt;&gt;"",IF(O57&lt;=Parametre_2018!P$4,"PLD",""),"PLD"),""),""),IF(V57&lt;&gt;"",IF(Parametre_2018!P$4&lt;&gt;"",IF(O57&lt;=Parametre_2018!P$4,"PLD",""),"PLD"),"")),""),""),IF(V57&lt;&gt;"",IF(Parametre_2018!O$4&lt;&gt;"",IF(N57&lt;=Parametre_2018!O$4,IF(V57&lt;&gt;"",IF(Parametre_2018!P$4&lt;&gt;"",IF(O57&lt;=Parametre_2018!P$4,"PLD",""),"PLD"),""),""),IF(V57&lt;&gt;"",IF(Parametre_2018!P$4&lt;&gt;"",IF(O57&lt;=Parametre_2018!P$4,"PLD",""),"PLD"),"")),"")),"")),IF(V57&lt;&gt;"",IF(Parametre_2018!N$4=1,IF(LEFT(V57,1)="1",IF(V57&lt;&gt;"",IF(Parametre_2018!O$4&lt;&gt;"",IF(N57&lt;=Parametre_2018!O$4,IF(V57&lt;&gt;"",IF(Parametre_2018!P$4&lt;&gt;"",IF(O57&lt;=Parametre_2018!P$4,"PLD",""),"PLD"),""),""),IF(V57&lt;&gt;"",IF(Parametre_2018!P$4&lt;&gt;"",IF(O57&lt;=Parametre_2018!P$4,"PLD",""),"PLD"),"")),""),""),IF(V57&lt;&gt;"",IF(Parametre_2018!O$4&lt;&gt;"",IF(N57&lt;=Parametre_2018!O$4,IF(V57&lt;&gt;"",IF(Parametre_2018!P$4&lt;&gt;"",IF(O57&lt;=Parametre_2018!P$4,"PLD",""),"PLD"),""),""),IF(V57&lt;&gt;"",IF(Parametre_2018!P$4&lt;&gt;"",IF(O57&lt;=Parametre_2018!P$4,"PLD",""),"PLD"),"")),"")),"")),"")</f>
        <v/>
      </c>
      <c r="Z57" s="152"/>
      <c r="AA57" s="227"/>
      <c r="AB57" s="228" t="str">
        <f>IF(Q57&lt;&gt;"",IF(Q57&lt;=Parametre_2018!B$4,IF(Parametre_2018!C$4&lt;&gt;"",IF(N57&lt;=Parametre_2018!C$4,IF(Parametre_2018!D$4&lt;&gt;"",IF(O57&lt;=Parametre_2018!D$4,"MCL",IF(Parametre_2018!I$4&lt;&gt;"",IF(N57&lt;=Parametre_2018!I$4,IF(Parametre_2018!J$4&lt;&gt;"",IF(O57&lt;=Parametre_2018!J$4,"CL",""),"CL"),""),IF(Parametre_2018!J$4&lt;&gt;"",IF(O57&lt;=Parametre_2018!J$4,"CL",""),"CL"))),"MCL"),IF(Parametre_2018!I$4&lt;&gt;"",IF(N57&lt;=Parametre_2018!I$4,IF(Parametre_2018!J$4&lt;&gt;"",IF(O57&lt;=Parametre_2018!J$4,"CL",""),"CL"),""),IF(Parametre_2018!J$4&lt;&gt;"",IF(O57&lt;=Parametre_2018!J$4,"CL",""),"CL"))),IF(Parametre_2018!D$4&lt;&gt;"",IF(O57&lt;=Parametre_2018!D$4,"MCL",IF(Parametre_2018!I$4&lt;&gt;"",IF(N57&lt;=Parametre_2018!I$4,IF(Parametre_2018!J$4&lt;&gt;"",IF(O57&lt;=Parametre_2018!J$4,"CL",""),"CL"),""),IF(Parametre_2018!J$4&lt;&gt;"",IF(O57&lt;=Parametre_2018!J$4,"CL",""),"CL"))),"MCL")),IF(Q57&lt;&gt;"",IF(AND(Q57&gt;Parametre_2018!B$4,Q57&lt;=Parametre_2018!H$4),IF(Parametre_2018!I$4&lt;&gt;"",IF(N57&lt;=Parametre_2018!I$4,IF(Parametre_2018!J$4&lt;&gt;"",IF(O57&lt;=Parametre_2018!J$4,"CL",""),"CL"),""),IF(Parametre_2018!J$4&lt;&gt;"",IF(O57&lt;=Parametre_2018!J$4,"CL",""),"CL")),""),"")),"")</f>
        <v/>
      </c>
      <c r="AC57" s="155"/>
      <c r="AD57" s="74"/>
      <c r="AE57" s="155"/>
      <c r="AF57" s="175"/>
      <c r="AI57" s="119"/>
      <c r="AJ57" s="119"/>
      <c r="AK57" s="119"/>
      <c r="AL57" s="119"/>
      <c r="AM57" s="119"/>
      <c r="AN57" s="119"/>
      <c r="AO57" s="119"/>
      <c r="AP57" s="119"/>
      <c r="AQ57" s="119"/>
      <c r="AR57" s="119"/>
      <c r="AS57" s="119"/>
      <c r="AT57" s="119"/>
      <c r="AU57" s="119"/>
      <c r="AV57" s="119"/>
      <c r="AW57" s="119"/>
      <c r="AX57" s="119"/>
      <c r="AY57" s="119"/>
    </row>
    <row r="58" spans="1:58" s="4" customFormat="1" ht="35.25" customHeight="1" x14ac:dyDescent="0.25">
      <c r="A58" s="152">
        <v>11</v>
      </c>
      <c r="B58" s="152" t="s">
        <v>62</v>
      </c>
      <c r="C58" s="183" t="s">
        <v>322</v>
      </c>
      <c r="D58" s="183" t="s">
        <v>323</v>
      </c>
      <c r="E58" s="184" t="s">
        <v>50</v>
      </c>
      <c r="F58" s="185" t="s">
        <v>470</v>
      </c>
      <c r="G58" s="195">
        <v>43262</v>
      </c>
      <c r="H58" s="187" t="s">
        <v>495</v>
      </c>
      <c r="I58" s="187" t="s">
        <v>496</v>
      </c>
      <c r="J58" s="193" t="s">
        <v>497</v>
      </c>
      <c r="K58" s="164" t="s">
        <v>197</v>
      </c>
      <c r="L58" s="161" t="s">
        <v>45</v>
      </c>
      <c r="M58" s="163" t="s">
        <v>174</v>
      </c>
      <c r="N58" s="177" t="s">
        <v>59</v>
      </c>
      <c r="O58" s="198" t="s">
        <v>60</v>
      </c>
      <c r="P58" s="200">
        <v>1.9</v>
      </c>
      <c r="Q58" s="202">
        <v>1.84</v>
      </c>
      <c r="R58" s="152"/>
      <c r="S58" s="152"/>
      <c r="T58" s="152"/>
      <c r="U58" s="132" t="str">
        <f t="shared" si="1"/>
        <v/>
      </c>
      <c r="V58" s="55"/>
      <c r="W58" s="55"/>
      <c r="X58" s="58"/>
      <c r="Y58" s="226" t="str">
        <f>IF(Q58&lt;&gt;"",IF(Q58&lt;=1.2,IF(O58="A","CR",IF(V58&lt;&gt;"",IF(Parametre_2018!N$4=1,IF(LEFT(V58,1)="1",IF(V58&lt;&gt;"",IF(Parametre_2018!O$4&lt;&gt;"",IF(N58&lt;=Parametre_2018!O$4,IF(V58&lt;&gt;"",IF(Parametre_2018!P$4&lt;&gt;"",IF(O58&lt;=Parametre_2018!P$4,"PLD",""),"PLD"),""),""),IF(V58&lt;&gt;"",IF(Parametre_2018!P$4&lt;&gt;"",IF(O58&lt;=Parametre_2018!P$4,"PLD",""),"PLD"),"")),""),""),IF(V58&lt;&gt;"",IF(Parametre_2018!O$4&lt;&gt;"",IF(N58&lt;=Parametre_2018!O$4,IF(V58&lt;&gt;"",IF(Parametre_2018!P$4&lt;&gt;"",IF(O58&lt;=Parametre_2018!P$4,"PLD",""),"PLD"),""),""),IF(V58&lt;&gt;"",IF(Parametre_2018!P$4&lt;&gt;"",IF(O58&lt;=Parametre_2018!P$4,"PLD",""),"PLD"),"")),"")),"")),IF(V58&lt;&gt;"",IF(Parametre_2018!N$4=1,IF(LEFT(V58,1)="1",IF(V58&lt;&gt;"",IF(Parametre_2018!O$4&lt;&gt;"",IF(N58&lt;=Parametre_2018!O$4,IF(V58&lt;&gt;"",IF(Parametre_2018!P$4&lt;&gt;"",IF(O58&lt;=Parametre_2018!P$4,"PLD",""),"PLD"),""),""),IF(V58&lt;&gt;"",IF(Parametre_2018!P$4&lt;&gt;"",IF(O58&lt;=Parametre_2018!P$4,"PLD",""),"PLD"),"")),""),""),IF(V58&lt;&gt;"",IF(Parametre_2018!O$4&lt;&gt;"",IF(N58&lt;=Parametre_2018!O$4,IF(V58&lt;&gt;"",IF(Parametre_2018!P$4&lt;&gt;"",IF(O58&lt;=Parametre_2018!P$4,"PLD",""),"PLD"),""),""),IF(V58&lt;&gt;"",IF(Parametre_2018!P$4&lt;&gt;"",IF(O58&lt;=Parametre_2018!P$4,"PLD",""),"PLD"),"")),"")),"")),"")</f>
        <v/>
      </c>
      <c r="Z58" s="58"/>
      <c r="AA58" s="229"/>
      <c r="AB58" s="228" t="str">
        <f>IF(Q58&lt;&gt;"",IF(Q58&lt;=Parametre_2018!B$4,IF(Parametre_2018!C$4&lt;&gt;"",IF(N58&lt;=Parametre_2018!C$4,IF(Parametre_2018!D$4&lt;&gt;"",IF(O58&lt;=Parametre_2018!D$4,"MCL",IF(Parametre_2018!I$4&lt;&gt;"",IF(N58&lt;=Parametre_2018!I$4,IF(Parametre_2018!J$4&lt;&gt;"",IF(O58&lt;=Parametre_2018!J$4,"CL",""),"CL"),""),IF(Parametre_2018!J$4&lt;&gt;"",IF(O58&lt;=Parametre_2018!J$4,"CL",""),"CL"))),"MCL"),IF(Parametre_2018!I$4&lt;&gt;"",IF(N58&lt;=Parametre_2018!I$4,IF(Parametre_2018!J$4&lt;&gt;"",IF(O58&lt;=Parametre_2018!J$4,"CL",""),"CL"),""),IF(Parametre_2018!J$4&lt;&gt;"",IF(O58&lt;=Parametre_2018!J$4,"CL",""),"CL"))),IF(Parametre_2018!D$4&lt;&gt;"",IF(O58&lt;=Parametre_2018!D$4,"MCL",IF(Parametre_2018!I$4&lt;&gt;"",IF(N58&lt;=Parametre_2018!I$4,IF(Parametre_2018!J$4&lt;&gt;"",IF(O58&lt;=Parametre_2018!J$4,"CL",""),"CL"),""),IF(Parametre_2018!J$4&lt;&gt;"",IF(O58&lt;=Parametre_2018!J$4,"CL",""),"CL"))),"MCL")),IF(Q58&lt;&gt;"",IF(AND(Q58&gt;Parametre_2018!B$4,Q58&lt;=Parametre_2018!H$4),IF(Parametre_2018!I$4&lt;&gt;"",IF(N58&lt;=Parametre_2018!I$4,IF(Parametre_2018!J$4&lt;&gt;"",IF(O58&lt;=Parametre_2018!J$4,"CL",""),"CL"),""),IF(Parametre_2018!J$4&lt;&gt;"",IF(O58&lt;=Parametre_2018!J$4,"CL",""),"CL")),""),"")),"")</f>
        <v/>
      </c>
      <c r="AC58" s="89"/>
      <c r="AD58" s="74"/>
      <c r="AE58" s="77"/>
      <c r="AF58" s="54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  <c r="AS58" s="119"/>
      <c r="AT58" s="119"/>
      <c r="AU58" s="119"/>
      <c r="AV58" s="119"/>
      <c r="AW58" s="119"/>
      <c r="AX58" s="119"/>
      <c r="AY58" s="119"/>
    </row>
    <row r="59" spans="1:58" s="4" customFormat="1" ht="35.25" customHeight="1" x14ac:dyDescent="0.25">
      <c r="A59" s="152">
        <v>73</v>
      </c>
      <c r="B59" s="152" t="s">
        <v>62</v>
      </c>
      <c r="C59" s="183" t="s">
        <v>413</v>
      </c>
      <c r="D59" s="183" t="s">
        <v>414</v>
      </c>
      <c r="E59" s="184" t="s">
        <v>50</v>
      </c>
      <c r="F59" s="185" t="s">
        <v>471</v>
      </c>
      <c r="G59" s="186">
        <v>43263</v>
      </c>
      <c r="H59" s="187" t="s">
        <v>484</v>
      </c>
      <c r="I59" s="192" t="s">
        <v>485</v>
      </c>
      <c r="J59" s="172" t="s">
        <v>486</v>
      </c>
      <c r="K59" s="164" t="s">
        <v>259</v>
      </c>
      <c r="L59" s="161" t="s">
        <v>157</v>
      </c>
      <c r="M59" s="163" t="s">
        <v>155</v>
      </c>
      <c r="N59" s="178" t="s">
        <v>60</v>
      </c>
      <c r="O59" s="198" t="s">
        <v>59</v>
      </c>
      <c r="P59" s="200">
        <v>1.81</v>
      </c>
      <c r="Q59" s="202">
        <v>1.84</v>
      </c>
      <c r="R59" s="154"/>
      <c r="S59" s="153"/>
      <c r="T59" s="153"/>
      <c r="U59" s="132" t="str">
        <f t="shared" si="1"/>
        <v/>
      </c>
      <c r="V59" s="152"/>
      <c r="W59" s="152"/>
      <c r="X59" s="204" t="s">
        <v>62</v>
      </c>
      <c r="Y59" s="226" t="str">
        <f>IF(Q59&lt;&gt;"",IF(Q59&lt;=1.2,IF(O59="A","CR",IF(V59&lt;&gt;"",IF(Parametre_2018!N$4=1,IF(LEFT(V59,1)="1",IF(V59&lt;&gt;"",IF(Parametre_2018!O$4&lt;&gt;"",IF(N59&lt;=Parametre_2018!O$4,IF(V59&lt;&gt;"",IF(Parametre_2018!P$4&lt;&gt;"",IF(O59&lt;=Parametre_2018!P$4,"PLD",""),"PLD"),""),""),IF(V59&lt;&gt;"",IF(Parametre_2018!P$4&lt;&gt;"",IF(O59&lt;=Parametre_2018!P$4,"PLD",""),"PLD"),"")),""),""),IF(V59&lt;&gt;"",IF(Parametre_2018!O$4&lt;&gt;"",IF(N59&lt;=Parametre_2018!O$4,IF(V59&lt;&gt;"",IF(Parametre_2018!P$4&lt;&gt;"",IF(O59&lt;=Parametre_2018!P$4,"PLD",""),"PLD"),""),""),IF(V59&lt;&gt;"",IF(Parametre_2018!P$4&lt;&gt;"",IF(O59&lt;=Parametre_2018!P$4,"PLD",""),"PLD"),"")),"")),"")),IF(V59&lt;&gt;"",IF(Parametre_2018!N$4=1,IF(LEFT(V59,1)="1",IF(V59&lt;&gt;"",IF(Parametre_2018!O$4&lt;&gt;"",IF(N59&lt;=Parametre_2018!O$4,IF(V59&lt;&gt;"",IF(Parametre_2018!P$4&lt;&gt;"",IF(O59&lt;=Parametre_2018!P$4,"PLD",""),"PLD"),""),""),IF(V59&lt;&gt;"",IF(Parametre_2018!P$4&lt;&gt;"",IF(O59&lt;=Parametre_2018!P$4,"PLD",""),"PLD"),"")),""),""),IF(V59&lt;&gt;"",IF(Parametre_2018!O$4&lt;&gt;"",IF(N59&lt;=Parametre_2018!O$4,IF(V59&lt;&gt;"",IF(Parametre_2018!P$4&lt;&gt;"",IF(O59&lt;=Parametre_2018!P$4,"PLD",""),"PLD"),""),""),IF(V59&lt;&gt;"",IF(Parametre_2018!P$4&lt;&gt;"",IF(O59&lt;=Parametre_2018!P$4,"PLD",""),"PLD"),"")),"")),"")),"")</f>
        <v/>
      </c>
      <c r="Z59" s="152"/>
      <c r="AA59" s="227"/>
      <c r="AB59" s="228" t="str">
        <f>IF(Q59&lt;&gt;"",IF(Q59&lt;=Parametre_2018!B$4,IF(Parametre_2018!C$4&lt;&gt;"",IF(N59&lt;=Parametre_2018!C$4,IF(Parametre_2018!D$4&lt;&gt;"",IF(O59&lt;=Parametre_2018!D$4,"MCL",IF(Parametre_2018!I$4&lt;&gt;"",IF(N59&lt;=Parametre_2018!I$4,IF(Parametre_2018!J$4&lt;&gt;"",IF(O59&lt;=Parametre_2018!J$4,"CL",""),"CL"),""),IF(Parametre_2018!J$4&lt;&gt;"",IF(O59&lt;=Parametre_2018!J$4,"CL",""),"CL"))),"MCL"),IF(Parametre_2018!I$4&lt;&gt;"",IF(N59&lt;=Parametre_2018!I$4,IF(Parametre_2018!J$4&lt;&gt;"",IF(O59&lt;=Parametre_2018!J$4,"CL",""),"CL"),""),IF(Parametre_2018!J$4&lt;&gt;"",IF(O59&lt;=Parametre_2018!J$4,"CL",""),"CL"))),IF(Parametre_2018!D$4&lt;&gt;"",IF(O59&lt;=Parametre_2018!D$4,"MCL",IF(Parametre_2018!I$4&lt;&gt;"",IF(N59&lt;=Parametre_2018!I$4,IF(Parametre_2018!J$4&lt;&gt;"",IF(O59&lt;=Parametre_2018!J$4,"CL",""),"CL"),""),IF(Parametre_2018!J$4&lt;&gt;"",IF(O59&lt;=Parametre_2018!J$4,"CL",""),"CL"))),"MCL")),IF(Q59&lt;&gt;"",IF(AND(Q59&gt;Parametre_2018!B$4,Q59&lt;=Parametre_2018!H$4),IF(Parametre_2018!I$4&lt;&gt;"",IF(N59&lt;=Parametre_2018!I$4,IF(Parametre_2018!J$4&lt;&gt;"",IF(O59&lt;=Parametre_2018!J$4,"CL",""),"CL"),""),IF(Parametre_2018!J$4&lt;&gt;"",IF(O59&lt;=Parametre_2018!J$4,"CL",""),"CL")),""),"")),"")</f>
        <v/>
      </c>
      <c r="AC59" s="153"/>
      <c r="AD59" s="74"/>
      <c r="AE59" s="153"/>
      <c r="AF59" s="153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19"/>
    </row>
    <row r="60" spans="1:58" s="2" customFormat="1" ht="35.25" customHeight="1" x14ac:dyDescent="0.25">
      <c r="A60" s="152">
        <v>87</v>
      </c>
      <c r="B60" s="152" t="s">
        <v>62</v>
      </c>
      <c r="C60" s="183" t="s">
        <v>434</v>
      </c>
      <c r="D60" s="183" t="s">
        <v>339</v>
      </c>
      <c r="E60" s="184" t="s">
        <v>50</v>
      </c>
      <c r="F60" s="185" t="s">
        <v>470</v>
      </c>
      <c r="G60" s="195">
        <v>43262</v>
      </c>
      <c r="H60" s="187" t="s">
        <v>495</v>
      </c>
      <c r="I60" s="192" t="s">
        <v>496</v>
      </c>
      <c r="J60" s="194" t="s">
        <v>497</v>
      </c>
      <c r="K60" s="164" t="s">
        <v>273</v>
      </c>
      <c r="L60" s="161" t="s">
        <v>45</v>
      </c>
      <c r="M60" s="163" t="s">
        <v>141</v>
      </c>
      <c r="N60" s="178" t="s">
        <v>59</v>
      </c>
      <c r="O60" s="198" t="s">
        <v>59</v>
      </c>
      <c r="P60" s="200">
        <v>1.79</v>
      </c>
      <c r="Q60" s="202">
        <v>1.84</v>
      </c>
      <c r="R60" s="213"/>
      <c r="S60" s="174"/>
      <c r="T60" s="174"/>
      <c r="U60" s="132" t="str">
        <f t="shared" si="1"/>
        <v/>
      </c>
      <c r="V60" s="152"/>
      <c r="W60" s="152"/>
      <c r="X60" s="155"/>
      <c r="Y60" s="226" t="str">
        <f>IF(Q60&lt;&gt;"",IF(Q60&lt;=1.2,IF(O60="A","CR",IF(V60&lt;&gt;"",IF(Parametre_2018!N$4=1,IF(LEFT(V60,1)="1",IF(V60&lt;&gt;"",IF(Parametre_2018!O$4&lt;&gt;"",IF(N60&lt;=Parametre_2018!O$4,IF(V60&lt;&gt;"",IF(Parametre_2018!P$4&lt;&gt;"",IF(O60&lt;=Parametre_2018!P$4,"PLD",""),"PLD"),""),""),IF(V60&lt;&gt;"",IF(Parametre_2018!P$4&lt;&gt;"",IF(O60&lt;=Parametre_2018!P$4,"PLD",""),"PLD"),"")),""),""),IF(V60&lt;&gt;"",IF(Parametre_2018!O$4&lt;&gt;"",IF(N60&lt;=Parametre_2018!O$4,IF(V60&lt;&gt;"",IF(Parametre_2018!P$4&lt;&gt;"",IF(O60&lt;=Parametre_2018!P$4,"PLD",""),"PLD"),""),""),IF(V60&lt;&gt;"",IF(Parametre_2018!P$4&lt;&gt;"",IF(O60&lt;=Parametre_2018!P$4,"PLD",""),"PLD"),"")),"")),"")),IF(V60&lt;&gt;"",IF(Parametre_2018!N$4=1,IF(LEFT(V60,1)="1",IF(V60&lt;&gt;"",IF(Parametre_2018!O$4&lt;&gt;"",IF(N60&lt;=Parametre_2018!O$4,IF(V60&lt;&gt;"",IF(Parametre_2018!P$4&lt;&gt;"",IF(O60&lt;=Parametre_2018!P$4,"PLD",""),"PLD"),""),""),IF(V60&lt;&gt;"",IF(Parametre_2018!P$4&lt;&gt;"",IF(O60&lt;=Parametre_2018!P$4,"PLD",""),"PLD"),"")),""),""),IF(V60&lt;&gt;"",IF(Parametre_2018!O$4&lt;&gt;"",IF(N60&lt;=Parametre_2018!O$4,IF(V60&lt;&gt;"",IF(Parametre_2018!P$4&lt;&gt;"",IF(O60&lt;=Parametre_2018!P$4,"PLD",""),"PLD"),""),""),IF(V60&lt;&gt;"",IF(Parametre_2018!P$4&lt;&gt;"",IF(O60&lt;=Parametre_2018!P$4,"PLD",""),"PLD"),"")),"")),"")),"")</f>
        <v/>
      </c>
      <c r="Z60" s="152"/>
      <c r="AA60" s="227"/>
      <c r="AB60" s="228" t="str">
        <f>IF(Q60&lt;&gt;"",IF(Q60&lt;=Parametre_2018!B$4,IF(Parametre_2018!C$4&lt;&gt;"",IF(N60&lt;=Parametre_2018!C$4,IF(Parametre_2018!D$4&lt;&gt;"",IF(O60&lt;=Parametre_2018!D$4,"MCL",IF(Parametre_2018!I$4&lt;&gt;"",IF(N60&lt;=Parametre_2018!I$4,IF(Parametre_2018!J$4&lt;&gt;"",IF(O60&lt;=Parametre_2018!J$4,"CL",""),"CL"),""),IF(Parametre_2018!J$4&lt;&gt;"",IF(O60&lt;=Parametre_2018!J$4,"CL",""),"CL"))),"MCL"),IF(Parametre_2018!I$4&lt;&gt;"",IF(N60&lt;=Parametre_2018!I$4,IF(Parametre_2018!J$4&lt;&gt;"",IF(O60&lt;=Parametre_2018!J$4,"CL",""),"CL"),""),IF(Parametre_2018!J$4&lt;&gt;"",IF(O60&lt;=Parametre_2018!J$4,"CL",""),"CL"))),IF(Parametre_2018!D$4&lt;&gt;"",IF(O60&lt;=Parametre_2018!D$4,"MCL",IF(Parametre_2018!I$4&lt;&gt;"",IF(N60&lt;=Parametre_2018!I$4,IF(Parametre_2018!J$4&lt;&gt;"",IF(O60&lt;=Parametre_2018!J$4,"CL",""),"CL"),""),IF(Parametre_2018!J$4&lt;&gt;"",IF(O60&lt;=Parametre_2018!J$4,"CL",""),"CL"))),"MCL")),IF(Q60&lt;&gt;"",IF(AND(Q60&gt;Parametre_2018!B$4,Q60&lt;=Parametre_2018!H$4),IF(Parametre_2018!I$4&lt;&gt;"",IF(N60&lt;=Parametre_2018!I$4,IF(Parametre_2018!J$4&lt;&gt;"",IF(O60&lt;=Parametre_2018!J$4,"CL",""),"CL"),""),IF(Parametre_2018!J$4&lt;&gt;"",IF(O60&lt;=Parametre_2018!J$4,"CL",""),"CL")),""),"")),"")</f>
        <v/>
      </c>
      <c r="AC60" s="155"/>
      <c r="AD60" s="74"/>
      <c r="AE60" s="155"/>
      <c r="AF60" s="175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  <c r="AS60" s="119"/>
      <c r="AT60" s="119"/>
      <c r="AU60" s="119"/>
      <c r="AV60" s="119"/>
      <c r="AW60" s="119"/>
      <c r="AX60" s="119"/>
      <c r="AY60" s="119"/>
    </row>
    <row r="61" spans="1:58" s="2" customFormat="1" ht="54" customHeight="1" x14ac:dyDescent="0.25">
      <c r="A61" s="152">
        <v>67</v>
      </c>
      <c r="B61" s="152" t="s">
        <v>62</v>
      </c>
      <c r="C61" s="183" t="s">
        <v>406</v>
      </c>
      <c r="D61" s="183" t="s">
        <v>52</v>
      </c>
      <c r="E61" s="184" t="s">
        <v>50</v>
      </c>
      <c r="F61" s="185" t="s">
        <v>471</v>
      </c>
      <c r="G61" s="186">
        <v>43263</v>
      </c>
      <c r="H61" s="192" t="s">
        <v>47</v>
      </c>
      <c r="I61" s="192" t="s">
        <v>19</v>
      </c>
      <c r="J61" s="172" t="s">
        <v>475</v>
      </c>
      <c r="K61" s="164" t="s">
        <v>253</v>
      </c>
      <c r="L61" s="161" t="s">
        <v>132</v>
      </c>
      <c r="M61" s="163" t="s">
        <v>139</v>
      </c>
      <c r="N61" s="181" t="s">
        <v>59</v>
      </c>
      <c r="O61" s="198" t="s">
        <v>59</v>
      </c>
      <c r="P61" s="200">
        <v>1.85</v>
      </c>
      <c r="Q61" s="202">
        <v>1.86</v>
      </c>
      <c r="R61" s="209"/>
      <c r="S61" s="169"/>
      <c r="T61" s="169"/>
      <c r="U61" s="132" t="str">
        <f t="shared" si="1"/>
        <v/>
      </c>
      <c r="V61" s="220"/>
      <c r="W61" s="220" t="s">
        <v>524</v>
      </c>
      <c r="X61" s="169"/>
      <c r="Y61" s="226" t="str">
        <f>IF(Q61&lt;&gt;"",IF(Q61&lt;=1.2,IF(O61="A","CR",IF(V61&lt;&gt;"",IF(Parametre_2018!N$4=1,IF(LEFT(V61,1)="1",IF(V61&lt;&gt;"",IF(Parametre_2018!O$4&lt;&gt;"",IF(N61&lt;=Parametre_2018!O$4,IF(V61&lt;&gt;"",IF(Parametre_2018!P$4&lt;&gt;"",IF(O61&lt;=Parametre_2018!P$4,"PLD",""),"PLD"),""),""),IF(V61&lt;&gt;"",IF(Parametre_2018!P$4&lt;&gt;"",IF(O61&lt;=Parametre_2018!P$4,"PLD",""),"PLD"),"")),""),""),IF(V61&lt;&gt;"",IF(Parametre_2018!O$4&lt;&gt;"",IF(N61&lt;=Parametre_2018!O$4,IF(V61&lt;&gt;"",IF(Parametre_2018!P$4&lt;&gt;"",IF(O61&lt;=Parametre_2018!P$4,"PLD",""),"PLD"),""),""),IF(V61&lt;&gt;"",IF(Parametre_2018!P$4&lt;&gt;"",IF(O61&lt;=Parametre_2018!P$4,"PLD",""),"PLD"),"")),"")),"")),IF(V61&lt;&gt;"",IF(Parametre_2018!N$4=1,IF(LEFT(V61,1)="1",IF(V61&lt;&gt;"",IF(Parametre_2018!O$4&lt;&gt;"",IF(N61&lt;=Parametre_2018!O$4,IF(V61&lt;&gt;"",IF(Parametre_2018!P$4&lt;&gt;"",IF(O61&lt;=Parametre_2018!P$4,"PLD",""),"PLD"),""),""),IF(V61&lt;&gt;"",IF(Parametre_2018!P$4&lt;&gt;"",IF(O61&lt;=Parametre_2018!P$4,"PLD",""),"PLD"),"")),""),""),IF(V61&lt;&gt;"",IF(Parametre_2018!O$4&lt;&gt;"",IF(N61&lt;=Parametre_2018!O$4,IF(V61&lt;&gt;"",IF(Parametre_2018!P$4&lt;&gt;"",IF(O61&lt;=Parametre_2018!P$4,"PLD",""),"PLD"),""),""),IF(V61&lt;&gt;"",IF(Parametre_2018!P$4&lt;&gt;"",IF(O61&lt;=Parametre_2018!P$4,"PLD",""),"PLD"),"")),"")),"")),"")</f>
        <v/>
      </c>
      <c r="Z61" s="220"/>
      <c r="AA61" s="227"/>
      <c r="AB61" s="228" t="str">
        <f>IF(Q61&lt;&gt;"",IF(Q61&lt;=Parametre_2018!B$4,IF(Parametre_2018!C$4&lt;&gt;"",IF(N61&lt;=Parametre_2018!C$4,IF(Parametre_2018!D$4&lt;&gt;"",IF(O61&lt;=Parametre_2018!D$4,"MCL",IF(Parametre_2018!I$4&lt;&gt;"",IF(N61&lt;=Parametre_2018!I$4,IF(Parametre_2018!J$4&lt;&gt;"",IF(O61&lt;=Parametre_2018!J$4,"CL",""),"CL"),""),IF(Parametre_2018!J$4&lt;&gt;"",IF(O61&lt;=Parametre_2018!J$4,"CL",""),"CL"))),"MCL"),IF(Parametre_2018!I$4&lt;&gt;"",IF(N61&lt;=Parametre_2018!I$4,IF(Parametre_2018!J$4&lt;&gt;"",IF(O61&lt;=Parametre_2018!J$4,"CL",""),"CL"),""),IF(Parametre_2018!J$4&lt;&gt;"",IF(O61&lt;=Parametre_2018!J$4,"CL",""),"CL"))),IF(Parametre_2018!D$4&lt;&gt;"",IF(O61&lt;=Parametre_2018!D$4,"MCL",IF(Parametre_2018!I$4&lt;&gt;"",IF(N61&lt;=Parametre_2018!I$4,IF(Parametre_2018!J$4&lt;&gt;"",IF(O61&lt;=Parametre_2018!J$4,"CL",""),"CL"),""),IF(Parametre_2018!J$4&lt;&gt;"",IF(O61&lt;=Parametre_2018!J$4,"CL",""),"CL"))),"MCL")),IF(Q61&lt;&gt;"",IF(AND(Q61&gt;Parametre_2018!B$4,Q61&lt;=Parametre_2018!H$4),IF(Parametre_2018!I$4&lt;&gt;"",IF(N61&lt;=Parametre_2018!I$4,IF(Parametre_2018!J$4&lt;&gt;"",IF(O61&lt;=Parametre_2018!J$4,"CL",""),"CL"),""),IF(Parametre_2018!J$4&lt;&gt;"",IF(O61&lt;=Parametre_2018!J$4,"CL",""),"CL")),""),"")),"")</f>
        <v/>
      </c>
      <c r="AC61" s="169"/>
      <c r="AD61" s="74"/>
      <c r="AE61" s="169"/>
      <c r="AF61" s="16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  <c r="AS61" s="119"/>
      <c r="AT61" s="119"/>
      <c r="AU61" s="119"/>
      <c r="AV61" s="119"/>
      <c r="AW61" s="119"/>
      <c r="AX61" s="119"/>
      <c r="AY61" s="119"/>
    </row>
    <row r="62" spans="1:58" s="2" customFormat="1" ht="36.9" customHeight="1" x14ac:dyDescent="0.25">
      <c r="A62" s="152">
        <v>115</v>
      </c>
      <c r="B62" s="152" t="s">
        <v>62</v>
      </c>
      <c r="C62" s="183" t="s">
        <v>465</v>
      </c>
      <c r="D62" s="183" t="s">
        <v>448</v>
      </c>
      <c r="E62" s="184" t="s">
        <v>50</v>
      </c>
      <c r="F62" s="185" t="s">
        <v>471</v>
      </c>
      <c r="G62" s="186">
        <v>43263</v>
      </c>
      <c r="H62" s="187" t="s">
        <v>472</v>
      </c>
      <c r="I62" s="192" t="s">
        <v>94</v>
      </c>
      <c r="J62" s="194" t="s">
        <v>51</v>
      </c>
      <c r="K62" s="164" t="s">
        <v>301</v>
      </c>
      <c r="L62" s="161" t="s">
        <v>133</v>
      </c>
      <c r="M62" s="163" t="s">
        <v>179</v>
      </c>
      <c r="N62" s="178" t="s">
        <v>59</v>
      </c>
      <c r="O62" s="198" t="s">
        <v>60</v>
      </c>
      <c r="P62" s="200">
        <v>2.06</v>
      </c>
      <c r="Q62" s="202">
        <v>1.86</v>
      </c>
      <c r="R62" s="213"/>
      <c r="S62" s="174"/>
      <c r="T62" s="174"/>
      <c r="U62" s="132" t="str">
        <f t="shared" si="1"/>
        <v/>
      </c>
      <c r="V62" s="152"/>
      <c r="W62" s="152"/>
      <c r="X62" s="155"/>
      <c r="Y62" s="226" t="str">
        <f>IF(Q62&lt;&gt;"",IF(Q62&lt;=1.2,IF(O62="A","CR",IF(V62&lt;&gt;"",IF(Parametre_2018!N$4=1,IF(LEFT(V62,1)="1",IF(V62&lt;&gt;"",IF(Parametre_2018!O$4&lt;&gt;"",IF(N62&lt;=Parametre_2018!O$4,IF(V62&lt;&gt;"",IF(Parametre_2018!P$4&lt;&gt;"",IF(O62&lt;=Parametre_2018!P$4,"PLD",""),"PLD"),""),""),IF(V62&lt;&gt;"",IF(Parametre_2018!P$4&lt;&gt;"",IF(O62&lt;=Parametre_2018!P$4,"PLD",""),"PLD"),"")),""),""),IF(V62&lt;&gt;"",IF(Parametre_2018!O$4&lt;&gt;"",IF(N62&lt;=Parametre_2018!O$4,IF(V62&lt;&gt;"",IF(Parametre_2018!P$4&lt;&gt;"",IF(O62&lt;=Parametre_2018!P$4,"PLD",""),"PLD"),""),""),IF(V62&lt;&gt;"",IF(Parametre_2018!P$4&lt;&gt;"",IF(O62&lt;=Parametre_2018!P$4,"PLD",""),"PLD"),"")),"")),"")),IF(V62&lt;&gt;"",IF(Parametre_2018!N$4=1,IF(LEFT(V62,1)="1",IF(V62&lt;&gt;"",IF(Parametre_2018!O$4&lt;&gt;"",IF(N62&lt;=Parametre_2018!O$4,IF(V62&lt;&gt;"",IF(Parametre_2018!P$4&lt;&gt;"",IF(O62&lt;=Parametre_2018!P$4,"PLD",""),"PLD"),""),""),IF(V62&lt;&gt;"",IF(Parametre_2018!P$4&lt;&gt;"",IF(O62&lt;=Parametre_2018!P$4,"PLD",""),"PLD"),"")),""),""),IF(V62&lt;&gt;"",IF(Parametre_2018!O$4&lt;&gt;"",IF(N62&lt;=Parametre_2018!O$4,IF(V62&lt;&gt;"",IF(Parametre_2018!P$4&lt;&gt;"",IF(O62&lt;=Parametre_2018!P$4,"PLD",""),"PLD"),""),""),IF(V62&lt;&gt;"",IF(Parametre_2018!P$4&lt;&gt;"",IF(O62&lt;=Parametre_2018!P$4,"PLD",""),"PLD"),"")),"")),"")),"")</f>
        <v/>
      </c>
      <c r="Z62" s="152"/>
      <c r="AA62" s="227"/>
      <c r="AB62" s="228" t="str">
        <f>IF(Q62&lt;&gt;"",IF(Q62&lt;=Parametre_2018!B$4,IF(Parametre_2018!C$4&lt;&gt;"",IF(N62&lt;=Parametre_2018!C$4,IF(Parametre_2018!D$4&lt;&gt;"",IF(O62&lt;=Parametre_2018!D$4,"MCL",IF(Parametre_2018!I$4&lt;&gt;"",IF(N62&lt;=Parametre_2018!I$4,IF(Parametre_2018!J$4&lt;&gt;"",IF(O62&lt;=Parametre_2018!J$4,"CL",""),"CL"),""),IF(Parametre_2018!J$4&lt;&gt;"",IF(O62&lt;=Parametre_2018!J$4,"CL",""),"CL"))),"MCL"),IF(Parametre_2018!I$4&lt;&gt;"",IF(N62&lt;=Parametre_2018!I$4,IF(Parametre_2018!J$4&lt;&gt;"",IF(O62&lt;=Parametre_2018!J$4,"CL",""),"CL"),""),IF(Parametre_2018!J$4&lt;&gt;"",IF(O62&lt;=Parametre_2018!J$4,"CL",""),"CL"))),IF(Parametre_2018!D$4&lt;&gt;"",IF(O62&lt;=Parametre_2018!D$4,"MCL",IF(Parametre_2018!I$4&lt;&gt;"",IF(N62&lt;=Parametre_2018!I$4,IF(Parametre_2018!J$4&lt;&gt;"",IF(O62&lt;=Parametre_2018!J$4,"CL",""),"CL"),""),IF(Parametre_2018!J$4&lt;&gt;"",IF(O62&lt;=Parametre_2018!J$4,"CL",""),"CL"))),"MCL")),IF(Q62&lt;&gt;"",IF(AND(Q62&gt;Parametre_2018!B$4,Q62&lt;=Parametre_2018!H$4),IF(Parametre_2018!I$4&lt;&gt;"",IF(N62&lt;=Parametre_2018!I$4,IF(Parametre_2018!J$4&lt;&gt;"",IF(O62&lt;=Parametre_2018!J$4,"CL",""),"CL"),""),IF(Parametre_2018!J$4&lt;&gt;"",IF(O62&lt;=Parametre_2018!J$4,"CL",""),"CL")),""),"")),"")</f>
        <v/>
      </c>
      <c r="AC62" s="155"/>
      <c r="AD62" s="74"/>
      <c r="AE62" s="155"/>
      <c r="AF62" s="175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  <c r="AS62" s="119"/>
      <c r="AT62" s="119"/>
      <c r="AU62" s="119"/>
      <c r="AV62" s="119"/>
      <c r="AW62" s="119"/>
      <c r="AX62" s="119"/>
      <c r="AY62" s="119"/>
    </row>
    <row r="63" spans="1:58" s="12" customFormat="1" ht="36.9" customHeight="1" x14ac:dyDescent="0.25">
      <c r="A63" s="152">
        <v>97</v>
      </c>
      <c r="B63" s="152" t="s">
        <v>62</v>
      </c>
      <c r="C63" s="183" t="s">
        <v>446</v>
      </c>
      <c r="D63" s="183" t="s">
        <v>52</v>
      </c>
      <c r="E63" s="184" t="s">
        <v>50</v>
      </c>
      <c r="F63" s="185" t="s">
        <v>470</v>
      </c>
      <c r="G63" s="195">
        <v>43262</v>
      </c>
      <c r="H63" s="192" t="s">
        <v>502</v>
      </c>
      <c r="I63" s="192" t="s">
        <v>485</v>
      </c>
      <c r="J63" s="194" t="s">
        <v>503</v>
      </c>
      <c r="K63" s="164" t="s">
        <v>283</v>
      </c>
      <c r="L63" s="161" t="s">
        <v>118</v>
      </c>
      <c r="M63" s="163" t="s">
        <v>137</v>
      </c>
      <c r="N63" s="178" t="s">
        <v>60</v>
      </c>
      <c r="O63" s="198" t="s">
        <v>59</v>
      </c>
      <c r="P63" s="200">
        <v>1.79</v>
      </c>
      <c r="Q63" s="202">
        <v>1.87</v>
      </c>
      <c r="R63" s="213"/>
      <c r="S63" s="174"/>
      <c r="T63" s="174"/>
      <c r="U63" s="132" t="str">
        <f t="shared" si="1"/>
        <v/>
      </c>
      <c r="V63" s="152"/>
      <c r="W63" s="152"/>
      <c r="X63" s="155"/>
      <c r="Y63" s="226" t="str">
        <f>IF(Q63&lt;&gt;"",IF(Q63&lt;=1.2,IF(O63="A","CR",IF(V63&lt;&gt;"",IF(Parametre_2018!N$4=1,IF(LEFT(V63,1)="1",IF(V63&lt;&gt;"",IF(Parametre_2018!O$4&lt;&gt;"",IF(N63&lt;=Parametre_2018!O$4,IF(V63&lt;&gt;"",IF(Parametre_2018!P$4&lt;&gt;"",IF(O63&lt;=Parametre_2018!P$4,"PLD",""),"PLD"),""),""),IF(V63&lt;&gt;"",IF(Parametre_2018!P$4&lt;&gt;"",IF(O63&lt;=Parametre_2018!P$4,"PLD",""),"PLD"),"")),""),""),IF(V63&lt;&gt;"",IF(Parametre_2018!O$4&lt;&gt;"",IF(N63&lt;=Parametre_2018!O$4,IF(V63&lt;&gt;"",IF(Parametre_2018!P$4&lt;&gt;"",IF(O63&lt;=Parametre_2018!P$4,"PLD",""),"PLD"),""),""),IF(V63&lt;&gt;"",IF(Parametre_2018!P$4&lt;&gt;"",IF(O63&lt;=Parametre_2018!P$4,"PLD",""),"PLD"),"")),"")),"")),IF(V63&lt;&gt;"",IF(Parametre_2018!N$4=1,IF(LEFT(V63,1)="1",IF(V63&lt;&gt;"",IF(Parametre_2018!O$4&lt;&gt;"",IF(N63&lt;=Parametre_2018!O$4,IF(V63&lt;&gt;"",IF(Parametre_2018!P$4&lt;&gt;"",IF(O63&lt;=Parametre_2018!P$4,"PLD",""),"PLD"),""),""),IF(V63&lt;&gt;"",IF(Parametre_2018!P$4&lt;&gt;"",IF(O63&lt;=Parametre_2018!P$4,"PLD",""),"PLD"),"")),""),""),IF(V63&lt;&gt;"",IF(Parametre_2018!O$4&lt;&gt;"",IF(N63&lt;=Parametre_2018!O$4,IF(V63&lt;&gt;"",IF(Parametre_2018!P$4&lt;&gt;"",IF(O63&lt;=Parametre_2018!P$4,"PLD",""),"PLD"),""),""),IF(V63&lt;&gt;"",IF(Parametre_2018!P$4&lt;&gt;"",IF(O63&lt;=Parametre_2018!P$4,"PLD",""),"PLD"),"")),"")),"")),"")</f>
        <v/>
      </c>
      <c r="Z63" s="152"/>
      <c r="AA63" s="227"/>
      <c r="AB63" s="228" t="str">
        <f>IF(Q63&lt;&gt;"",IF(Q63&lt;=Parametre_2018!B$4,IF(Parametre_2018!C$4&lt;&gt;"",IF(N63&lt;=Parametre_2018!C$4,IF(Parametre_2018!D$4&lt;&gt;"",IF(O63&lt;=Parametre_2018!D$4,"MCL",IF(Parametre_2018!I$4&lt;&gt;"",IF(N63&lt;=Parametre_2018!I$4,IF(Parametre_2018!J$4&lt;&gt;"",IF(O63&lt;=Parametre_2018!J$4,"CL",""),"CL"),""),IF(Parametre_2018!J$4&lt;&gt;"",IF(O63&lt;=Parametre_2018!J$4,"CL",""),"CL"))),"MCL"),IF(Parametre_2018!I$4&lt;&gt;"",IF(N63&lt;=Parametre_2018!I$4,IF(Parametre_2018!J$4&lt;&gt;"",IF(O63&lt;=Parametre_2018!J$4,"CL",""),"CL"),""),IF(Parametre_2018!J$4&lt;&gt;"",IF(O63&lt;=Parametre_2018!J$4,"CL",""),"CL"))),IF(Parametre_2018!D$4&lt;&gt;"",IF(O63&lt;=Parametre_2018!D$4,"MCL",IF(Parametre_2018!I$4&lt;&gt;"",IF(N63&lt;=Parametre_2018!I$4,IF(Parametre_2018!J$4&lt;&gt;"",IF(O63&lt;=Parametre_2018!J$4,"CL",""),"CL"),""),IF(Parametre_2018!J$4&lt;&gt;"",IF(O63&lt;=Parametre_2018!J$4,"CL",""),"CL"))),"MCL")),IF(Q63&lt;&gt;"",IF(AND(Q63&gt;Parametre_2018!B$4,Q63&lt;=Parametre_2018!H$4),IF(Parametre_2018!I$4&lt;&gt;"",IF(N63&lt;=Parametre_2018!I$4,IF(Parametre_2018!J$4&lt;&gt;"",IF(O63&lt;=Parametre_2018!J$4,"CL",""),"CL"),""),IF(Parametre_2018!J$4&lt;&gt;"",IF(O63&lt;=Parametre_2018!J$4,"CL",""),"CL")),""),"")),"")</f>
        <v/>
      </c>
      <c r="AC63" s="155"/>
      <c r="AD63" s="74"/>
      <c r="AE63" s="155"/>
      <c r="AF63" s="175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  <c r="AS63" s="119"/>
      <c r="AT63" s="119"/>
      <c r="AU63" s="119"/>
      <c r="AV63" s="119"/>
      <c r="AW63" s="119"/>
      <c r="AX63" s="119"/>
      <c r="AY63" s="119"/>
    </row>
    <row r="64" spans="1:58" s="13" customFormat="1" ht="36.9" customHeight="1" x14ac:dyDescent="0.25">
      <c r="A64" s="152">
        <v>42</v>
      </c>
      <c r="B64" s="152" t="s">
        <v>62</v>
      </c>
      <c r="C64" s="183" t="s">
        <v>372</v>
      </c>
      <c r="D64" s="183" t="s">
        <v>373</v>
      </c>
      <c r="E64" s="184" t="s">
        <v>50</v>
      </c>
      <c r="F64" s="185" t="s">
        <v>470</v>
      </c>
      <c r="G64" s="186">
        <v>43263</v>
      </c>
      <c r="H64" s="190" t="s">
        <v>473</v>
      </c>
      <c r="I64" s="234" t="s">
        <v>18</v>
      </c>
      <c r="J64" s="219" t="s">
        <v>43</v>
      </c>
      <c r="K64" s="164" t="s">
        <v>228</v>
      </c>
      <c r="L64" s="161" t="s">
        <v>144</v>
      </c>
      <c r="M64" s="163" t="s">
        <v>126</v>
      </c>
      <c r="N64" s="62" t="s">
        <v>27</v>
      </c>
      <c r="O64" s="198" t="s">
        <v>59</v>
      </c>
      <c r="P64" s="200">
        <v>1.78</v>
      </c>
      <c r="Q64" s="202">
        <v>1.88</v>
      </c>
      <c r="R64" s="59"/>
      <c r="S64" s="60"/>
      <c r="T64" s="55"/>
      <c r="U64" s="132" t="str">
        <f t="shared" si="1"/>
        <v/>
      </c>
      <c r="V64" s="55"/>
      <c r="W64" s="55"/>
      <c r="X64" s="54"/>
      <c r="Y64" s="226" t="str">
        <f>IF(Q64&lt;&gt;"",IF(Q64&lt;=1.2,IF(O64="A","CR",IF(V64&lt;&gt;"",IF(Parametre_2018!N$4=1,IF(LEFT(V64,1)="1",IF(V64&lt;&gt;"",IF(Parametre_2018!O$4&lt;&gt;"",IF(N64&lt;=Parametre_2018!O$4,IF(V64&lt;&gt;"",IF(Parametre_2018!P$4&lt;&gt;"",IF(O64&lt;=Parametre_2018!P$4,"PLD",""),"PLD"),""),""),IF(V64&lt;&gt;"",IF(Parametre_2018!P$4&lt;&gt;"",IF(O64&lt;=Parametre_2018!P$4,"PLD",""),"PLD"),"")),""),""),IF(V64&lt;&gt;"",IF(Parametre_2018!O$4&lt;&gt;"",IF(N64&lt;=Parametre_2018!O$4,IF(V64&lt;&gt;"",IF(Parametre_2018!P$4&lt;&gt;"",IF(O64&lt;=Parametre_2018!P$4,"PLD",""),"PLD"),""),""),IF(V64&lt;&gt;"",IF(Parametre_2018!P$4&lt;&gt;"",IF(O64&lt;=Parametre_2018!P$4,"PLD",""),"PLD"),"")),"")),"")),IF(V64&lt;&gt;"",IF(Parametre_2018!N$4=1,IF(LEFT(V64,1)="1",IF(V64&lt;&gt;"",IF(Parametre_2018!O$4&lt;&gt;"",IF(N64&lt;=Parametre_2018!O$4,IF(V64&lt;&gt;"",IF(Parametre_2018!P$4&lt;&gt;"",IF(O64&lt;=Parametre_2018!P$4,"PLD",""),"PLD"),""),""),IF(V64&lt;&gt;"",IF(Parametre_2018!P$4&lt;&gt;"",IF(O64&lt;=Parametre_2018!P$4,"PLD",""),"PLD"),"")),""),""),IF(V64&lt;&gt;"",IF(Parametre_2018!O$4&lt;&gt;"",IF(N64&lt;=Parametre_2018!O$4,IF(V64&lt;&gt;"",IF(Parametre_2018!P$4&lt;&gt;"",IF(O64&lt;=Parametre_2018!P$4,"PLD",""),"PLD"),""),""),IF(V64&lt;&gt;"",IF(Parametre_2018!P$4&lt;&gt;"",IF(O64&lt;=Parametre_2018!P$4,"PLD",""),"PLD"),"")),"")),"")),"")</f>
        <v/>
      </c>
      <c r="Z64" s="58"/>
      <c r="AA64" s="227"/>
      <c r="AB64" s="228" t="str">
        <f>IF(Q64&lt;&gt;"",IF(Q64&lt;=Parametre_2018!B$4,IF(Parametre_2018!C$4&lt;&gt;"",IF(N64&lt;=Parametre_2018!C$4,IF(Parametre_2018!D$4&lt;&gt;"",IF(O64&lt;=Parametre_2018!D$4,"MCL",IF(Parametre_2018!I$4&lt;&gt;"",IF(N64&lt;=Parametre_2018!I$4,IF(Parametre_2018!J$4&lt;&gt;"",IF(O64&lt;=Parametre_2018!J$4,"CL",""),"CL"),""),IF(Parametre_2018!J$4&lt;&gt;"",IF(O64&lt;=Parametre_2018!J$4,"CL",""),"CL"))),"MCL"),IF(Parametre_2018!I$4&lt;&gt;"",IF(N64&lt;=Parametre_2018!I$4,IF(Parametre_2018!J$4&lt;&gt;"",IF(O64&lt;=Parametre_2018!J$4,"CL",""),"CL"),""),IF(Parametre_2018!J$4&lt;&gt;"",IF(O64&lt;=Parametre_2018!J$4,"CL",""),"CL"))),IF(Parametre_2018!D$4&lt;&gt;"",IF(O64&lt;=Parametre_2018!D$4,"MCL",IF(Parametre_2018!I$4&lt;&gt;"",IF(N64&lt;=Parametre_2018!I$4,IF(Parametre_2018!J$4&lt;&gt;"",IF(O64&lt;=Parametre_2018!J$4,"CL",""),"CL"),""),IF(Parametre_2018!J$4&lt;&gt;"",IF(O64&lt;=Parametre_2018!J$4,"CL",""),"CL"))),"MCL")),IF(Q64&lt;&gt;"",IF(AND(Q64&gt;Parametre_2018!B$4,Q64&lt;=Parametre_2018!H$4),IF(Parametre_2018!I$4&lt;&gt;"",IF(N64&lt;=Parametre_2018!I$4,IF(Parametre_2018!J$4&lt;&gt;"",IF(O64&lt;=Parametre_2018!J$4,"CL",""),"CL"),""),IF(Parametre_2018!J$4&lt;&gt;"",IF(O64&lt;=Parametre_2018!J$4,"CL",""),"CL")),""),"")),"")</f>
        <v/>
      </c>
      <c r="AC64" s="89"/>
      <c r="AD64" s="74"/>
      <c r="AE64" s="54"/>
      <c r="AF64" s="54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  <c r="AS64" s="119"/>
      <c r="AT64" s="119"/>
      <c r="AU64" s="119"/>
      <c r="AV64" s="119"/>
      <c r="AW64" s="119"/>
      <c r="AX64" s="119"/>
      <c r="AY64" s="119"/>
    </row>
    <row r="65" spans="1:51" s="13" customFormat="1" ht="36.9" customHeight="1" x14ac:dyDescent="0.25">
      <c r="A65" s="152">
        <v>2</v>
      </c>
      <c r="B65" s="152" t="s">
        <v>62</v>
      </c>
      <c r="C65" s="183" t="s">
        <v>307</v>
      </c>
      <c r="D65" s="183" t="s">
        <v>308</v>
      </c>
      <c r="E65" s="184" t="s">
        <v>50</v>
      </c>
      <c r="F65" s="185" t="s">
        <v>471</v>
      </c>
      <c r="G65" s="195">
        <v>43262</v>
      </c>
      <c r="H65" s="188" t="s">
        <v>493</v>
      </c>
      <c r="I65" s="188" t="s">
        <v>478</v>
      </c>
      <c r="J65" s="154" t="s">
        <v>494</v>
      </c>
      <c r="K65" s="164" t="s">
        <v>188</v>
      </c>
      <c r="L65" s="161" t="s">
        <v>117</v>
      </c>
      <c r="M65" s="163" t="s">
        <v>121</v>
      </c>
      <c r="N65" s="177" t="s">
        <v>60</v>
      </c>
      <c r="O65" s="198" t="s">
        <v>60</v>
      </c>
      <c r="P65" s="200">
        <v>1.96</v>
      </c>
      <c r="Q65" s="202">
        <v>1.91</v>
      </c>
      <c r="R65" s="207"/>
      <c r="S65" s="152"/>
      <c r="T65" s="152"/>
      <c r="U65" s="132" t="str">
        <f t="shared" si="1"/>
        <v/>
      </c>
      <c r="V65" s="55"/>
      <c r="W65" s="55"/>
      <c r="X65" s="58" t="s">
        <v>62</v>
      </c>
      <c r="Y65" s="226" t="str">
        <f>IF(Q65&lt;&gt;"",IF(Q65&lt;=1.2,IF(O65="A","CR",IF(V65&lt;&gt;"",IF(Parametre_2018!N$4=1,IF(LEFT(V65,1)="1",IF(V65&lt;&gt;"",IF(Parametre_2018!O$4&lt;&gt;"",IF(N65&lt;=Parametre_2018!O$4,IF(V65&lt;&gt;"",IF(Parametre_2018!P$4&lt;&gt;"",IF(O65&lt;=Parametre_2018!P$4,"PLD",""),"PLD"),""),""),IF(V65&lt;&gt;"",IF(Parametre_2018!P$4&lt;&gt;"",IF(O65&lt;=Parametre_2018!P$4,"PLD",""),"PLD"),"")),""),""),IF(V65&lt;&gt;"",IF(Parametre_2018!O$4&lt;&gt;"",IF(N65&lt;=Parametre_2018!O$4,IF(V65&lt;&gt;"",IF(Parametre_2018!P$4&lt;&gt;"",IF(O65&lt;=Parametre_2018!P$4,"PLD",""),"PLD"),""),""),IF(V65&lt;&gt;"",IF(Parametre_2018!P$4&lt;&gt;"",IF(O65&lt;=Parametre_2018!P$4,"PLD",""),"PLD"),"")),"")),"")),IF(V65&lt;&gt;"",IF(Parametre_2018!N$4=1,IF(LEFT(V65,1)="1",IF(V65&lt;&gt;"",IF(Parametre_2018!O$4&lt;&gt;"",IF(N65&lt;=Parametre_2018!O$4,IF(V65&lt;&gt;"",IF(Parametre_2018!P$4&lt;&gt;"",IF(O65&lt;=Parametre_2018!P$4,"PLD",""),"PLD"),""),""),IF(V65&lt;&gt;"",IF(Parametre_2018!P$4&lt;&gt;"",IF(O65&lt;=Parametre_2018!P$4,"PLD",""),"PLD"),"")),""),""),IF(V65&lt;&gt;"",IF(Parametre_2018!O$4&lt;&gt;"",IF(N65&lt;=Parametre_2018!O$4,IF(V65&lt;&gt;"",IF(Parametre_2018!P$4&lt;&gt;"",IF(O65&lt;=Parametre_2018!P$4,"PLD",""),"PLD"),""),""),IF(V65&lt;&gt;"",IF(Parametre_2018!P$4&lt;&gt;"",IF(O65&lt;=Parametre_2018!P$4,"PLD",""),"PLD"),"")),"")),"")),"")</f>
        <v/>
      </c>
      <c r="Z65" s="58"/>
      <c r="AA65" s="229"/>
      <c r="AB65" s="228" t="str">
        <f>IF(Q65&lt;&gt;"",IF(Q65&lt;=Parametre_2018!B$4,IF(Parametre_2018!C$4&lt;&gt;"",IF(N65&lt;=Parametre_2018!C$4,IF(Parametre_2018!D$4&lt;&gt;"",IF(O65&lt;=Parametre_2018!D$4,"MCL",IF(Parametre_2018!I$4&lt;&gt;"",IF(N65&lt;=Parametre_2018!I$4,IF(Parametre_2018!J$4&lt;&gt;"",IF(O65&lt;=Parametre_2018!J$4,"CL",""),"CL"),""),IF(Parametre_2018!J$4&lt;&gt;"",IF(O65&lt;=Parametre_2018!J$4,"CL",""),"CL"))),"MCL"),IF(Parametre_2018!I$4&lt;&gt;"",IF(N65&lt;=Parametre_2018!I$4,IF(Parametre_2018!J$4&lt;&gt;"",IF(O65&lt;=Parametre_2018!J$4,"CL",""),"CL"),""),IF(Parametre_2018!J$4&lt;&gt;"",IF(O65&lt;=Parametre_2018!J$4,"CL",""),"CL"))),IF(Parametre_2018!D$4&lt;&gt;"",IF(O65&lt;=Parametre_2018!D$4,"MCL",IF(Parametre_2018!I$4&lt;&gt;"",IF(N65&lt;=Parametre_2018!I$4,IF(Parametre_2018!J$4&lt;&gt;"",IF(O65&lt;=Parametre_2018!J$4,"CL",""),"CL"),""),IF(Parametre_2018!J$4&lt;&gt;"",IF(O65&lt;=Parametre_2018!J$4,"CL",""),"CL"))),"MCL")),IF(Q65&lt;&gt;"",IF(AND(Q65&gt;Parametre_2018!B$4,Q65&lt;=Parametre_2018!H$4),IF(Parametre_2018!I$4&lt;&gt;"",IF(N65&lt;=Parametre_2018!I$4,IF(Parametre_2018!J$4&lt;&gt;"",IF(O65&lt;=Parametre_2018!J$4,"CL",""),"CL"),""),IF(Parametre_2018!J$4&lt;&gt;"",IF(O65&lt;=Parametre_2018!J$4,"CL",""),"CL")),""),"")),"")</f>
        <v/>
      </c>
      <c r="AC65" s="89"/>
      <c r="AD65" s="76"/>
      <c r="AE65" s="77"/>
      <c r="AF65" s="54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  <c r="AV65" s="119"/>
      <c r="AW65" s="119"/>
      <c r="AX65" s="119"/>
      <c r="AY65" s="119"/>
    </row>
    <row r="66" spans="1:51" s="14" customFormat="1" ht="36.9" customHeight="1" x14ac:dyDescent="0.25">
      <c r="A66" s="152">
        <v>116</v>
      </c>
      <c r="B66" s="152" t="s">
        <v>62</v>
      </c>
      <c r="C66" s="183" t="s">
        <v>466</v>
      </c>
      <c r="D66" s="183" t="s">
        <v>467</v>
      </c>
      <c r="E66" s="184" t="s">
        <v>50</v>
      </c>
      <c r="F66" s="185" t="s">
        <v>471</v>
      </c>
      <c r="G66" s="186">
        <v>43263</v>
      </c>
      <c r="H66" s="192" t="s">
        <v>47</v>
      </c>
      <c r="I66" s="192" t="s">
        <v>19</v>
      </c>
      <c r="J66" s="172" t="s">
        <v>475</v>
      </c>
      <c r="K66" s="164" t="s">
        <v>302</v>
      </c>
      <c r="L66" s="161" t="s">
        <v>132</v>
      </c>
      <c r="M66" s="163" t="s">
        <v>147</v>
      </c>
      <c r="N66" s="178" t="s">
        <v>59</v>
      </c>
      <c r="O66" s="198" t="s">
        <v>60</v>
      </c>
      <c r="P66" s="200">
        <v>2</v>
      </c>
      <c r="Q66" s="202">
        <v>1.92</v>
      </c>
      <c r="R66" s="213"/>
      <c r="S66" s="174"/>
      <c r="T66" s="174"/>
      <c r="U66" s="132" t="str">
        <f t="shared" si="1"/>
        <v/>
      </c>
      <c r="V66" s="152"/>
      <c r="W66" s="152"/>
      <c r="X66" s="155"/>
      <c r="Y66" s="226" t="str">
        <f>IF(Q66&lt;&gt;"",IF(Q66&lt;=1.2,IF(O66="A","CR",IF(V66&lt;&gt;"",IF(Parametre_2018!N$4=1,IF(LEFT(V66,1)="1",IF(V66&lt;&gt;"",IF(Parametre_2018!O$4&lt;&gt;"",IF(N66&lt;=Parametre_2018!O$4,IF(V66&lt;&gt;"",IF(Parametre_2018!P$4&lt;&gt;"",IF(O66&lt;=Parametre_2018!P$4,"PLD",""),"PLD"),""),""),IF(V66&lt;&gt;"",IF(Parametre_2018!P$4&lt;&gt;"",IF(O66&lt;=Parametre_2018!P$4,"PLD",""),"PLD"),"")),""),""),IF(V66&lt;&gt;"",IF(Parametre_2018!O$4&lt;&gt;"",IF(N66&lt;=Parametre_2018!O$4,IF(V66&lt;&gt;"",IF(Parametre_2018!P$4&lt;&gt;"",IF(O66&lt;=Parametre_2018!P$4,"PLD",""),"PLD"),""),""),IF(V66&lt;&gt;"",IF(Parametre_2018!P$4&lt;&gt;"",IF(O66&lt;=Parametre_2018!P$4,"PLD",""),"PLD"),"")),"")),"")),IF(V66&lt;&gt;"",IF(Parametre_2018!N$4=1,IF(LEFT(V66,1)="1",IF(V66&lt;&gt;"",IF(Parametre_2018!O$4&lt;&gt;"",IF(N66&lt;=Parametre_2018!O$4,IF(V66&lt;&gt;"",IF(Parametre_2018!P$4&lt;&gt;"",IF(O66&lt;=Parametre_2018!P$4,"PLD",""),"PLD"),""),""),IF(V66&lt;&gt;"",IF(Parametre_2018!P$4&lt;&gt;"",IF(O66&lt;=Parametre_2018!P$4,"PLD",""),"PLD"),"")),""),""),IF(V66&lt;&gt;"",IF(Parametre_2018!O$4&lt;&gt;"",IF(N66&lt;=Parametre_2018!O$4,IF(V66&lt;&gt;"",IF(Parametre_2018!P$4&lt;&gt;"",IF(O66&lt;=Parametre_2018!P$4,"PLD",""),"PLD"),""),""),IF(V66&lt;&gt;"",IF(Parametre_2018!P$4&lt;&gt;"",IF(O66&lt;=Parametre_2018!P$4,"PLD",""),"PLD"),"")),"")),"")),"")</f>
        <v/>
      </c>
      <c r="Z66" s="152"/>
      <c r="AA66" s="227"/>
      <c r="AB66" s="228" t="str">
        <f>IF(Q66&lt;&gt;"",IF(Q66&lt;=Parametre_2018!B$4,IF(Parametre_2018!C$4&lt;&gt;"",IF(N66&lt;=Parametre_2018!C$4,IF(Parametre_2018!D$4&lt;&gt;"",IF(O66&lt;=Parametre_2018!D$4,"MCL",IF(Parametre_2018!I$4&lt;&gt;"",IF(N66&lt;=Parametre_2018!I$4,IF(Parametre_2018!J$4&lt;&gt;"",IF(O66&lt;=Parametre_2018!J$4,"CL",""),"CL"),""),IF(Parametre_2018!J$4&lt;&gt;"",IF(O66&lt;=Parametre_2018!J$4,"CL",""),"CL"))),"MCL"),IF(Parametre_2018!I$4&lt;&gt;"",IF(N66&lt;=Parametre_2018!I$4,IF(Parametre_2018!J$4&lt;&gt;"",IF(O66&lt;=Parametre_2018!J$4,"CL",""),"CL"),""),IF(Parametre_2018!J$4&lt;&gt;"",IF(O66&lt;=Parametre_2018!J$4,"CL",""),"CL"))),IF(Parametre_2018!D$4&lt;&gt;"",IF(O66&lt;=Parametre_2018!D$4,"MCL",IF(Parametre_2018!I$4&lt;&gt;"",IF(N66&lt;=Parametre_2018!I$4,IF(Parametre_2018!J$4&lt;&gt;"",IF(O66&lt;=Parametre_2018!J$4,"CL",""),"CL"),""),IF(Parametre_2018!J$4&lt;&gt;"",IF(O66&lt;=Parametre_2018!J$4,"CL",""),"CL"))),"MCL")),IF(Q66&lt;&gt;"",IF(AND(Q66&gt;Parametre_2018!B$4,Q66&lt;=Parametre_2018!H$4),IF(Parametre_2018!I$4&lt;&gt;"",IF(N66&lt;=Parametre_2018!I$4,IF(Parametre_2018!J$4&lt;&gt;"",IF(O66&lt;=Parametre_2018!J$4,"CL",""),"CL"),""),IF(Parametre_2018!J$4&lt;&gt;"",IF(O66&lt;=Parametre_2018!J$4,"CL",""),"CL")),""),"")),"")</f>
        <v/>
      </c>
      <c r="AC66" s="155"/>
      <c r="AD66" s="74"/>
      <c r="AE66" s="155"/>
      <c r="AF66" s="175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  <c r="AS66" s="119"/>
      <c r="AT66" s="119"/>
      <c r="AU66" s="119"/>
      <c r="AV66" s="119"/>
      <c r="AW66" s="119"/>
      <c r="AX66" s="119"/>
      <c r="AY66" s="119"/>
    </row>
    <row r="67" spans="1:51" ht="36.9" customHeight="1" x14ac:dyDescent="0.25">
      <c r="A67" s="152">
        <v>58</v>
      </c>
      <c r="B67" s="152" t="s">
        <v>62</v>
      </c>
      <c r="C67" s="183" t="s">
        <v>394</v>
      </c>
      <c r="D67" s="183" t="s">
        <v>351</v>
      </c>
      <c r="E67" s="184" t="s">
        <v>50</v>
      </c>
      <c r="F67" s="185" t="s">
        <v>471</v>
      </c>
      <c r="G67" s="195">
        <v>43262</v>
      </c>
      <c r="H67" s="188" t="s">
        <v>493</v>
      </c>
      <c r="I67" s="234" t="s">
        <v>478</v>
      </c>
      <c r="J67" s="219" t="s">
        <v>494</v>
      </c>
      <c r="K67" s="164" t="s">
        <v>244</v>
      </c>
      <c r="L67" s="161" t="s">
        <v>152</v>
      </c>
      <c r="M67" s="163" t="s">
        <v>121</v>
      </c>
      <c r="N67" s="181" t="s">
        <v>60</v>
      </c>
      <c r="O67" s="198" t="s">
        <v>60</v>
      </c>
      <c r="P67" s="200">
        <v>1.98</v>
      </c>
      <c r="Q67" s="202">
        <v>1.93</v>
      </c>
      <c r="R67" s="209"/>
      <c r="S67" s="169"/>
      <c r="T67" s="169"/>
      <c r="U67" s="132" t="str">
        <f t="shared" si="1"/>
        <v/>
      </c>
      <c r="V67" s="220"/>
      <c r="W67" s="220"/>
      <c r="X67" s="220" t="s">
        <v>62</v>
      </c>
      <c r="Y67" s="226" t="str">
        <f>IF(Q67&lt;&gt;"",IF(Q67&lt;=1.2,IF(O67="A","CR",IF(V67&lt;&gt;"",IF(Parametre_2018!N$4=1,IF(LEFT(V67,1)="1",IF(V67&lt;&gt;"",IF(Parametre_2018!O$4&lt;&gt;"",IF(N67&lt;=Parametre_2018!O$4,IF(V67&lt;&gt;"",IF(Parametre_2018!P$4&lt;&gt;"",IF(O67&lt;=Parametre_2018!P$4,"PLD",""),"PLD"),""),""),IF(V67&lt;&gt;"",IF(Parametre_2018!P$4&lt;&gt;"",IF(O67&lt;=Parametre_2018!P$4,"PLD",""),"PLD"),"")),""),""),IF(V67&lt;&gt;"",IF(Parametre_2018!O$4&lt;&gt;"",IF(N67&lt;=Parametre_2018!O$4,IF(V67&lt;&gt;"",IF(Parametre_2018!P$4&lt;&gt;"",IF(O67&lt;=Parametre_2018!P$4,"PLD",""),"PLD"),""),""),IF(V67&lt;&gt;"",IF(Parametre_2018!P$4&lt;&gt;"",IF(O67&lt;=Parametre_2018!P$4,"PLD",""),"PLD"),"")),"")),"")),IF(V67&lt;&gt;"",IF(Parametre_2018!N$4=1,IF(LEFT(V67,1)="1",IF(V67&lt;&gt;"",IF(Parametre_2018!O$4&lt;&gt;"",IF(N67&lt;=Parametre_2018!O$4,IF(V67&lt;&gt;"",IF(Parametre_2018!P$4&lt;&gt;"",IF(O67&lt;=Parametre_2018!P$4,"PLD",""),"PLD"),""),""),IF(V67&lt;&gt;"",IF(Parametre_2018!P$4&lt;&gt;"",IF(O67&lt;=Parametre_2018!P$4,"PLD",""),"PLD"),"")),""),""),IF(V67&lt;&gt;"",IF(Parametre_2018!O$4&lt;&gt;"",IF(N67&lt;=Parametre_2018!O$4,IF(V67&lt;&gt;"",IF(Parametre_2018!P$4&lt;&gt;"",IF(O67&lt;=Parametre_2018!P$4,"PLD",""),"PLD"),""),""),IF(V67&lt;&gt;"",IF(Parametre_2018!P$4&lt;&gt;"",IF(O67&lt;=Parametre_2018!P$4,"PLD",""),"PLD"),"")),"")),"")),"")</f>
        <v/>
      </c>
      <c r="Z67" s="220"/>
      <c r="AA67" s="227"/>
      <c r="AB67" s="228" t="str">
        <f>IF(Q67&lt;&gt;"",IF(Q67&lt;=Parametre_2018!B$4,IF(Parametre_2018!C$4&lt;&gt;"",IF(N67&lt;=Parametre_2018!C$4,IF(Parametre_2018!D$4&lt;&gt;"",IF(O67&lt;=Parametre_2018!D$4,"MCL",IF(Parametre_2018!I$4&lt;&gt;"",IF(N67&lt;=Parametre_2018!I$4,IF(Parametre_2018!J$4&lt;&gt;"",IF(O67&lt;=Parametre_2018!J$4,"CL",""),"CL"),""),IF(Parametre_2018!J$4&lt;&gt;"",IF(O67&lt;=Parametre_2018!J$4,"CL",""),"CL"))),"MCL"),IF(Parametre_2018!I$4&lt;&gt;"",IF(N67&lt;=Parametre_2018!I$4,IF(Parametre_2018!J$4&lt;&gt;"",IF(O67&lt;=Parametre_2018!J$4,"CL",""),"CL"),""),IF(Parametre_2018!J$4&lt;&gt;"",IF(O67&lt;=Parametre_2018!J$4,"CL",""),"CL"))),IF(Parametre_2018!D$4&lt;&gt;"",IF(O67&lt;=Parametre_2018!D$4,"MCL",IF(Parametre_2018!I$4&lt;&gt;"",IF(N67&lt;=Parametre_2018!I$4,IF(Parametre_2018!J$4&lt;&gt;"",IF(O67&lt;=Parametre_2018!J$4,"CL",""),"CL"),""),IF(Parametre_2018!J$4&lt;&gt;"",IF(O67&lt;=Parametre_2018!J$4,"CL",""),"CL"))),"MCL")),IF(Q67&lt;&gt;"",IF(AND(Q67&gt;Parametre_2018!B$4,Q67&lt;=Parametre_2018!H$4),IF(Parametre_2018!I$4&lt;&gt;"",IF(N67&lt;=Parametre_2018!I$4,IF(Parametre_2018!J$4&lt;&gt;"",IF(O67&lt;=Parametre_2018!J$4,"CL",""),"CL"),""),IF(Parametre_2018!J$4&lt;&gt;"",IF(O67&lt;=Parametre_2018!J$4,"CL",""),"CL")),""),"")),"")</f>
        <v/>
      </c>
      <c r="AC67" s="169"/>
      <c r="AD67" s="74"/>
      <c r="AE67" s="169"/>
      <c r="AF67" s="169"/>
      <c r="AG67" s="1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19"/>
      <c r="AV67" s="119"/>
      <c r="AW67" s="119"/>
      <c r="AX67" s="119"/>
      <c r="AY67" s="119"/>
    </row>
    <row r="68" spans="1:51" s="2" customFormat="1" ht="36.9" customHeight="1" x14ac:dyDescent="0.25">
      <c r="A68" s="152">
        <v>89</v>
      </c>
      <c r="B68" s="152" t="s">
        <v>62</v>
      </c>
      <c r="C68" s="183" t="s">
        <v>436</v>
      </c>
      <c r="D68" s="183" t="s">
        <v>370</v>
      </c>
      <c r="E68" s="184" t="s">
        <v>50</v>
      </c>
      <c r="F68" s="185" t="s">
        <v>470</v>
      </c>
      <c r="G68" s="195">
        <v>43262</v>
      </c>
      <c r="H68" s="192" t="s">
        <v>498</v>
      </c>
      <c r="I68" s="192" t="s">
        <v>480</v>
      </c>
      <c r="J68" s="172" t="s">
        <v>499</v>
      </c>
      <c r="K68" s="164" t="s">
        <v>275</v>
      </c>
      <c r="L68" s="161" t="s">
        <v>164</v>
      </c>
      <c r="M68" s="163" t="s">
        <v>118</v>
      </c>
      <c r="N68" s="178" t="s">
        <v>60</v>
      </c>
      <c r="O68" s="198" t="s">
        <v>60</v>
      </c>
      <c r="P68" s="200">
        <v>1.99</v>
      </c>
      <c r="Q68" s="202">
        <v>1.93</v>
      </c>
      <c r="R68" s="213"/>
      <c r="S68" s="174"/>
      <c r="T68" s="174"/>
      <c r="U68" s="132" t="str">
        <f t="shared" ref="U68:U99" si="2">IF(OR(V68&lt;&gt;"",Y68&lt;&gt;"",AB68&lt;&gt;""),"Navrh","")</f>
        <v/>
      </c>
      <c r="V68" s="152"/>
      <c r="W68" s="152"/>
      <c r="X68" s="204" t="s">
        <v>62</v>
      </c>
      <c r="Y68" s="226" t="str">
        <f>IF(Q68&lt;&gt;"",IF(Q68&lt;=1.2,IF(O68="A","CR",IF(V68&lt;&gt;"",IF(Parametre_2018!N$4=1,IF(LEFT(V68,1)="1",IF(V68&lt;&gt;"",IF(Parametre_2018!O$4&lt;&gt;"",IF(N68&lt;=Parametre_2018!O$4,IF(V68&lt;&gt;"",IF(Parametre_2018!P$4&lt;&gt;"",IF(O68&lt;=Parametre_2018!P$4,"PLD",""),"PLD"),""),""),IF(V68&lt;&gt;"",IF(Parametre_2018!P$4&lt;&gt;"",IF(O68&lt;=Parametre_2018!P$4,"PLD",""),"PLD"),"")),""),""),IF(V68&lt;&gt;"",IF(Parametre_2018!O$4&lt;&gt;"",IF(N68&lt;=Parametre_2018!O$4,IF(V68&lt;&gt;"",IF(Parametre_2018!P$4&lt;&gt;"",IF(O68&lt;=Parametre_2018!P$4,"PLD",""),"PLD"),""),""),IF(V68&lt;&gt;"",IF(Parametre_2018!P$4&lt;&gt;"",IF(O68&lt;=Parametre_2018!P$4,"PLD",""),"PLD"),"")),"")),"")),IF(V68&lt;&gt;"",IF(Parametre_2018!N$4=1,IF(LEFT(V68,1)="1",IF(V68&lt;&gt;"",IF(Parametre_2018!O$4&lt;&gt;"",IF(N68&lt;=Parametre_2018!O$4,IF(V68&lt;&gt;"",IF(Parametre_2018!P$4&lt;&gt;"",IF(O68&lt;=Parametre_2018!P$4,"PLD",""),"PLD"),""),""),IF(V68&lt;&gt;"",IF(Parametre_2018!P$4&lt;&gt;"",IF(O68&lt;=Parametre_2018!P$4,"PLD",""),"PLD"),"")),""),""),IF(V68&lt;&gt;"",IF(Parametre_2018!O$4&lt;&gt;"",IF(N68&lt;=Parametre_2018!O$4,IF(V68&lt;&gt;"",IF(Parametre_2018!P$4&lt;&gt;"",IF(O68&lt;=Parametre_2018!P$4,"PLD",""),"PLD"),""),""),IF(V68&lt;&gt;"",IF(Parametre_2018!P$4&lt;&gt;"",IF(O68&lt;=Parametre_2018!P$4,"PLD",""),"PLD"),"")),"")),"")),"")</f>
        <v/>
      </c>
      <c r="Z68" s="152"/>
      <c r="AA68" s="227"/>
      <c r="AB68" s="228" t="str">
        <f>IF(Q68&lt;&gt;"",IF(Q68&lt;=Parametre_2018!B$4,IF(Parametre_2018!C$4&lt;&gt;"",IF(N68&lt;=Parametre_2018!C$4,IF(Parametre_2018!D$4&lt;&gt;"",IF(O68&lt;=Parametre_2018!D$4,"MCL",IF(Parametre_2018!I$4&lt;&gt;"",IF(N68&lt;=Parametre_2018!I$4,IF(Parametre_2018!J$4&lt;&gt;"",IF(O68&lt;=Parametre_2018!J$4,"CL",""),"CL"),""),IF(Parametre_2018!J$4&lt;&gt;"",IF(O68&lt;=Parametre_2018!J$4,"CL",""),"CL"))),"MCL"),IF(Parametre_2018!I$4&lt;&gt;"",IF(N68&lt;=Parametre_2018!I$4,IF(Parametre_2018!J$4&lt;&gt;"",IF(O68&lt;=Parametre_2018!J$4,"CL",""),"CL"),""),IF(Parametre_2018!J$4&lt;&gt;"",IF(O68&lt;=Parametre_2018!J$4,"CL",""),"CL"))),IF(Parametre_2018!D$4&lt;&gt;"",IF(O68&lt;=Parametre_2018!D$4,"MCL",IF(Parametre_2018!I$4&lt;&gt;"",IF(N68&lt;=Parametre_2018!I$4,IF(Parametre_2018!J$4&lt;&gt;"",IF(O68&lt;=Parametre_2018!J$4,"CL",""),"CL"),""),IF(Parametre_2018!J$4&lt;&gt;"",IF(O68&lt;=Parametre_2018!J$4,"CL",""),"CL"))),"MCL")),IF(Q68&lt;&gt;"",IF(AND(Q68&gt;Parametre_2018!B$4,Q68&lt;=Parametre_2018!H$4),IF(Parametre_2018!I$4&lt;&gt;"",IF(N68&lt;=Parametre_2018!I$4,IF(Parametre_2018!J$4&lt;&gt;"",IF(O68&lt;=Parametre_2018!J$4,"CL",""),"CL"),""),IF(Parametre_2018!J$4&lt;&gt;"",IF(O68&lt;=Parametre_2018!J$4,"CL",""),"CL")),""),"")),"")</f>
        <v/>
      </c>
      <c r="AC68" s="155"/>
      <c r="AD68" s="74"/>
      <c r="AE68" s="155"/>
      <c r="AF68" s="175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19"/>
      <c r="AV68" s="119"/>
      <c r="AW68" s="119"/>
      <c r="AX68" s="119"/>
      <c r="AY68" s="119"/>
    </row>
    <row r="69" spans="1:51" s="2" customFormat="1" ht="36.9" customHeight="1" x14ac:dyDescent="0.25">
      <c r="A69" s="152">
        <v>4</v>
      </c>
      <c r="B69" s="152" t="s">
        <v>62</v>
      </c>
      <c r="C69" s="183" t="s">
        <v>310</v>
      </c>
      <c r="D69" s="183" t="s">
        <v>311</v>
      </c>
      <c r="E69" s="184" t="s">
        <v>50</v>
      </c>
      <c r="F69" s="185" t="s">
        <v>471</v>
      </c>
      <c r="G69" s="195">
        <v>43262</v>
      </c>
      <c r="H69" s="187" t="s">
        <v>491</v>
      </c>
      <c r="I69" s="187" t="s">
        <v>44</v>
      </c>
      <c r="J69" s="155" t="s">
        <v>492</v>
      </c>
      <c r="K69" s="164" t="s">
        <v>190</v>
      </c>
      <c r="L69" s="161" t="s">
        <v>119</v>
      </c>
      <c r="M69" s="163" t="s">
        <v>172</v>
      </c>
      <c r="N69" s="177" t="s">
        <v>27</v>
      </c>
      <c r="O69" s="198" t="s">
        <v>60</v>
      </c>
      <c r="P69" s="200">
        <v>2</v>
      </c>
      <c r="Q69" s="202">
        <v>1.94</v>
      </c>
      <c r="R69" s="152"/>
      <c r="S69" s="152"/>
      <c r="T69" s="152"/>
      <c r="U69" s="132" t="str">
        <f t="shared" si="2"/>
        <v/>
      </c>
      <c r="V69" s="55"/>
      <c r="W69" s="55"/>
      <c r="X69" s="58" t="s">
        <v>62</v>
      </c>
      <c r="Y69" s="226" t="str">
        <f>IF(Q69&lt;&gt;"",IF(Q69&lt;=1.2,IF(O69="A","CR",IF(V69&lt;&gt;"",IF(Parametre_2018!N$4=1,IF(LEFT(V69,1)="1",IF(V69&lt;&gt;"",IF(Parametre_2018!O$4&lt;&gt;"",IF(N69&lt;=Parametre_2018!O$4,IF(V69&lt;&gt;"",IF(Parametre_2018!P$4&lt;&gt;"",IF(O69&lt;=Parametre_2018!P$4,"PLD",""),"PLD"),""),""),IF(V69&lt;&gt;"",IF(Parametre_2018!P$4&lt;&gt;"",IF(O69&lt;=Parametre_2018!P$4,"PLD",""),"PLD"),"")),""),""),IF(V69&lt;&gt;"",IF(Parametre_2018!O$4&lt;&gt;"",IF(N69&lt;=Parametre_2018!O$4,IF(V69&lt;&gt;"",IF(Parametre_2018!P$4&lt;&gt;"",IF(O69&lt;=Parametre_2018!P$4,"PLD",""),"PLD"),""),""),IF(V69&lt;&gt;"",IF(Parametre_2018!P$4&lt;&gt;"",IF(O69&lt;=Parametre_2018!P$4,"PLD",""),"PLD"),"")),"")),"")),IF(V69&lt;&gt;"",IF(Parametre_2018!N$4=1,IF(LEFT(V69,1)="1",IF(V69&lt;&gt;"",IF(Parametre_2018!O$4&lt;&gt;"",IF(N69&lt;=Parametre_2018!O$4,IF(V69&lt;&gt;"",IF(Parametre_2018!P$4&lt;&gt;"",IF(O69&lt;=Parametre_2018!P$4,"PLD",""),"PLD"),""),""),IF(V69&lt;&gt;"",IF(Parametre_2018!P$4&lt;&gt;"",IF(O69&lt;=Parametre_2018!P$4,"PLD",""),"PLD"),"")),""),""),IF(V69&lt;&gt;"",IF(Parametre_2018!O$4&lt;&gt;"",IF(N69&lt;=Parametre_2018!O$4,IF(V69&lt;&gt;"",IF(Parametre_2018!P$4&lt;&gt;"",IF(O69&lt;=Parametre_2018!P$4,"PLD",""),"PLD"),""),""),IF(V69&lt;&gt;"",IF(Parametre_2018!P$4&lt;&gt;"",IF(O69&lt;=Parametre_2018!P$4,"PLD",""),"PLD"),"")),"")),"")),"")</f>
        <v/>
      </c>
      <c r="Z69" s="58"/>
      <c r="AA69" s="229"/>
      <c r="AB69" s="228" t="str">
        <f>IF(Q69&lt;&gt;"",IF(Q69&lt;=Parametre_2018!B$4,IF(Parametre_2018!C$4&lt;&gt;"",IF(N69&lt;=Parametre_2018!C$4,IF(Parametre_2018!D$4&lt;&gt;"",IF(O69&lt;=Parametre_2018!D$4,"MCL",IF(Parametre_2018!I$4&lt;&gt;"",IF(N69&lt;=Parametre_2018!I$4,IF(Parametre_2018!J$4&lt;&gt;"",IF(O69&lt;=Parametre_2018!J$4,"CL",""),"CL"),""),IF(Parametre_2018!J$4&lt;&gt;"",IF(O69&lt;=Parametre_2018!J$4,"CL",""),"CL"))),"MCL"),IF(Parametre_2018!I$4&lt;&gt;"",IF(N69&lt;=Parametre_2018!I$4,IF(Parametre_2018!J$4&lt;&gt;"",IF(O69&lt;=Parametre_2018!J$4,"CL",""),"CL"),""),IF(Parametre_2018!J$4&lt;&gt;"",IF(O69&lt;=Parametre_2018!J$4,"CL",""),"CL"))),IF(Parametre_2018!D$4&lt;&gt;"",IF(O69&lt;=Parametre_2018!D$4,"MCL",IF(Parametre_2018!I$4&lt;&gt;"",IF(N69&lt;=Parametre_2018!I$4,IF(Parametre_2018!J$4&lt;&gt;"",IF(O69&lt;=Parametre_2018!J$4,"CL",""),"CL"),""),IF(Parametre_2018!J$4&lt;&gt;"",IF(O69&lt;=Parametre_2018!J$4,"CL",""),"CL"))),"MCL")),IF(Q69&lt;&gt;"",IF(AND(Q69&gt;Parametre_2018!B$4,Q69&lt;=Parametre_2018!H$4),IF(Parametre_2018!I$4&lt;&gt;"",IF(N69&lt;=Parametre_2018!I$4,IF(Parametre_2018!J$4&lt;&gt;"",IF(O69&lt;=Parametre_2018!J$4,"CL",""),"CL"),""),IF(Parametre_2018!J$4&lt;&gt;"",IF(O69&lt;=Parametre_2018!J$4,"CL",""),"CL")),""),"")),"")</f>
        <v/>
      </c>
      <c r="AC69" s="89"/>
      <c r="AD69" s="74"/>
      <c r="AE69" s="77"/>
      <c r="AF69" s="54"/>
      <c r="AI69" s="119"/>
      <c r="AJ69" s="119"/>
      <c r="AK69" s="119"/>
      <c r="AL69" s="119"/>
      <c r="AM69" s="119"/>
      <c r="AN69" s="119"/>
      <c r="AO69" s="119"/>
      <c r="AP69" s="119"/>
      <c r="AQ69" s="119"/>
      <c r="AR69" s="119"/>
      <c r="AS69" s="119"/>
      <c r="AT69" s="119"/>
      <c r="AU69" s="119"/>
      <c r="AV69" s="119"/>
      <c r="AW69" s="119"/>
      <c r="AX69" s="119"/>
      <c r="AY69" s="119"/>
    </row>
    <row r="70" spans="1:51" s="2" customFormat="1" ht="36.9" customHeight="1" x14ac:dyDescent="0.25">
      <c r="A70" s="152">
        <v>33</v>
      </c>
      <c r="B70" s="152" t="s">
        <v>62</v>
      </c>
      <c r="C70" s="183" t="s">
        <v>359</v>
      </c>
      <c r="D70" s="183" t="s">
        <v>360</v>
      </c>
      <c r="E70" s="184" t="s">
        <v>50</v>
      </c>
      <c r="F70" s="185" t="s">
        <v>470</v>
      </c>
      <c r="G70" s="195">
        <v>43262</v>
      </c>
      <c r="H70" s="187" t="s">
        <v>489</v>
      </c>
      <c r="I70" s="187" t="s">
        <v>18</v>
      </c>
      <c r="J70" s="193" t="s">
        <v>490</v>
      </c>
      <c r="K70" s="164" t="s">
        <v>219</v>
      </c>
      <c r="L70" s="161" t="s">
        <v>139</v>
      </c>
      <c r="M70" s="163" t="s">
        <v>132</v>
      </c>
      <c r="N70" s="178" t="s">
        <v>27</v>
      </c>
      <c r="O70" s="198" t="s">
        <v>27</v>
      </c>
      <c r="P70" s="200">
        <v>1.75</v>
      </c>
      <c r="Q70" s="202">
        <v>1.94</v>
      </c>
      <c r="R70" s="207"/>
      <c r="S70" s="152"/>
      <c r="T70" s="152"/>
      <c r="U70" s="132" t="str">
        <f t="shared" si="2"/>
        <v/>
      </c>
      <c r="V70" s="152"/>
      <c r="W70" s="152"/>
      <c r="X70" s="152"/>
      <c r="Y70" s="226" t="str">
        <f>IF(Q70&lt;&gt;"",IF(Q70&lt;=1.2,IF(O70="A","CR",IF(V70&lt;&gt;"",IF(Parametre_2018!N$4=1,IF(LEFT(V70,1)="1",IF(V70&lt;&gt;"",IF(Parametre_2018!O$4&lt;&gt;"",IF(N70&lt;=Parametre_2018!O$4,IF(V70&lt;&gt;"",IF(Parametre_2018!P$4&lt;&gt;"",IF(O70&lt;=Parametre_2018!P$4,"PLD",""),"PLD"),""),""),IF(V70&lt;&gt;"",IF(Parametre_2018!P$4&lt;&gt;"",IF(O70&lt;=Parametre_2018!P$4,"PLD",""),"PLD"),"")),""),""),IF(V70&lt;&gt;"",IF(Parametre_2018!O$4&lt;&gt;"",IF(N70&lt;=Parametre_2018!O$4,IF(V70&lt;&gt;"",IF(Parametre_2018!P$4&lt;&gt;"",IF(O70&lt;=Parametre_2018!P$4,"PLD",""),"PLD"),""),""),IF(V70&lt;&gt;"",IF(Parametre_2018!P$4&lt;&gt;"",IF(O70&lt;=Parametre_2018!P$4,"PLD",""),"PLD"),"")),"")),"")),IF(V70&lt;&gt;"",IF(Parametre_2018!N$4=1,IF(LEFT(V70,1)="1",IF(V70&lt;&gt;"",IF(Parametre_2018!O$4&lt;&gt;"",IF(N70&lt;=Parametre_2018!O$4,IF(V70&lt;&gt;"",IF(Parametre_2018!P$4&lt;&gt;"",IF(O70&lt;=Parametre_2018!P$4,"PLD",""),"PLD"),""),""),IF(V70&lt;&gt;"",IF(Parametre_2018!P$4&lt;&gt;"",IF(O70&lt;=Parametre_2018!P$4,"PLD",""),"PLD"),"")),""),""),IF(V70&lt;&gt;"",IF(Parametre_2018!O$4&lt;&gt;"",IF(N70&lt;=Parametre_2018!O$4,IF(V70&lt;&gt;"",IF(Parametre_2018!P$4&lt;&gt;"",IF(O70&lt;=Parametre_2018!P$4,"PLD",""),"PLD"),""),""),IF(V70&lt;&gt;"",IF(Parametre_2018!P$4&lt;&gt;"",IF(O70&lt;=Parametre_2018!P$4,"PLD",""),"PLD"),"")),"")),"")),"")</f>
        <v/>
      </c>
      <c r="Z70" s="58"/>
      <c r="AA70" s="227"/>
      <c r="AB70" s="228" t="str">
        <f>IF(Q70&lt;&gt;"",IF(Q70&lt;=Parametre_2018!B$4,IF(Parametre_2018!C$4&lt;&gt;"",IF(N70&lt;=Parametre_2018!C$4,IF(Parametre_2018!D$4&lt;&gt;"",IF(O70&lt;=Parametre_2018!D$4,"MCL",IF(Parametre_2018!I$4&lt;&gt;"",IF(N70&lt;=Parametre_2018!I$4,IF(Parametre_2018!J$4&lt;&gt;"",IF(O70&lt;=Parametre_2018!J$4,"CL",""),"CL"),""),IF(Parametre_2018!J$4&lt;&gt;"",IF(O70&lt;=Parametre_2018!J$4,"CL",""),"CL"))),"MCL"),IF(Parametre_2018!I$4&lt;&gt;"",IF(N70&lt;=Parametre_2018!I$4,IF(Parametre_2018!J$4&lt;&gt;"",IF(O70&lt;=Parametre_2018!J$4,"CL",""),"CL"),""),IF(Parametre_2018!J$4&lt;&gt;"",IF(O70&lt;=Parametre_2018!J$4,"CL",""),"CL"))),IF(Parametre_2018!D$4&lt;&gt;"",IF(O70&lt;=Parametre_2018!D$4,"MCL",IF(Parametre_2018!I$4&lt;&gt;"",IF(N70&lt;=Parametre_2018!I$4,IF(Parametre_2018!J$4&lt;&gt;"",IF(O70&lt;=Parametre_2018!J$4,"CL",""),"CL"),""),IF(Parametre_2018!J$4&lt;&gt;"",IF(O70&lt;=Parametre_2018!J$4,"CL",""),"CL"))),"MCL")),IF(Q70&lt;&gt;"",IF(AND(Q70&gt;Parametre_2018!B$4,Q70&lt;=Parametre_2018!H$4),IF(Parametre_2018!I$4&lt;&gt;"",IF(N70&lt;=Parametre_2018!I$4,IF(Parametre_2018!J$4&lt;&gt;"",IF(O70&lt;=Parametre_2018!J$4,"CL",""),"CL"),""),IF(Parametre_2018!J$4&lt;&gt;"",IF(O70&lt;=Parametre_2018!J$4,"CL",""),"CL")),""),"")),"")</f>
        <v/>
      </c>
      <c r="AC70" s="89"/>
      <c r="AD70" s="74"/>
      <c r="AE70" s="54"/>
      <c r="AF70" s="54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</row>
    <row r="71" spans="1:51" ht="36.9" customHeight="1" x14ac:dyDescent="0.25">
      <c r="A71" s="152">
        <v>88</v>
      </c>
      <c r="B71" s="152" t="s">
        <v>62</v>
      </c>
      <c r="C71" s="183" t="s">
        <v>435</v>
      </c>
      <c r="D71" s="183" t="s">
        <v>373</v>
      </c>
      <c r="E71" s="184" t="s">
        <v>50</v>
      </c>
      <c r="F71" s="185" t="s">
        <v>471</v>
      </c>
      <c r="G71" s="195">
        <v>43262</v>
      </c>
      <c r="H71" s="187" t="s">
        <v>489</v>
      </c>
      <c r="I71" s="192" t="s">
        <v>18</v>
      </c>
      <c r="J71" s="194" t="s">
        <v>490</v>
      </c>
      <c r="K71" s="164" t="s">
        <v>274</v>
      </c>
      <c r="L71" s="161" t="s">
        <v>163</v>
      </c>
      <c r="M71" s="163" t="s">
        <v>165</v>
      </c>
      <c r="N71" s="178" t="s">
        <v>60</v>
      </c>
      <c r="O71" s="198" t="s">
        <v>60</v>
      </c>
      <c r="P71" s="200">
        <v>1.99</v>
      </c>
      <c r="Q71" s="202">
        <v>1.94</v>
      </c>
      <c r="R71" s="214" t="s">
        <v>93</v>
      </c>
      <c r="S71" s="174"/>
      <c r="T71" s="174"/>
      <c r="U71" s="132" t="str">
        <f t="shared" si="2"/>
        <v/>
      </c>
      <c r="V71" s="152"/>
      <c r="W71" s="152"/>
      <c r="X71" s="155"/>
      <c r="Y71" s="226" t="str">
        <f>IF(Q71&lt;&gt;"",IF(Q71&lt;=1.2,IF(O71="A","CR",IF(V71&lt;&gt;"",IF(Parametre_2018!N$4=1,IF(LEFT(V71,1)="1",IF(V71&lt;&gt;"",IF(Parametre_2018!O$4&lt;&gt;"",IF(N71&lt;=Parametre_2018!O$4,IF(V71&lt;&gt;"",IF(Parametre_2018!P$4&lt;&gt;"",IF(O71&lt;=Parametre_2018!P$4,"PLD",""),"PLD"),""),""),IF(V71&lt;&gt;"",IF(Parametre_2018!P$4&lt;&gt;"",IF(O71&lt;=Parametre_2018!P$4,"PLD",""),"PLD"),"")),""),""),IF(V71&lt;&gt;"",IF(Parametre_2018!O$4&lt;&gt;"",IF(N71&lt;=Parametre_2018!O$4,IF(V71&lt;&gt;"",IF(Parametre_2018!P$4&lt;&gt;"",IF(O71&lt;=Parametre_2018!P$4,"PLD",""),"PLD"),""),""),IF(V71&lt;&gt;"",IF(Parametre_2018!P$4&lt;&gt;"",IF(O71&lt;=Parametre_2018!P$4,"PLD",""),"PLD"),"")),"")),"")),IF(V71&lt;&gt;"",IF(Parametre_2018!N$4=1,IF(LEFT(V71,1)="1",IF(V71&lt;&gt;"",IF(Parametre_2018!O$4&lt;&gt;"",IF(N71&lt;=Parametre_2018!O$4,IF(V71&lt;&gt;"",IF(Parametre_2018!P$4&lt;&gt;"",IF(O71&lt;=Parametre_2018!P$4,"PLD",""),"PLD"),""),""),IF(V71&lt;&gt;"",IF(Parametre_2018!P$4&lt;&gt;"",IF(O71&lt;=Parametre_2018!P$4,"PLD",""),"PLD"),"")),""),""),IF(V71&lt;&gt;"",IF(Parametre_2018!O$4&lt;&gt;"",IF(N71&lt;=Parametre_2018!O$4,IF(V71&lt;&gt;"",IF(Parametre_2018!P$4&lt;&gt;"",IF(O71&lt;=Parametre_2018!P$4,"PLD",""),"PLD"),""),""),IF(V71&lt;&gt;"",IF(Parametre_2018!P$4&lt;&gt;"",IF(O71&lt;=Parametre_2018!P$4,"PLD",""),"PLD"),"")),"")),"")),"")</f>
        <v/>
      </c>
      <c r="Z71" s="152"/>
      <c r="AA71" s="227"/>
      <c r="AB71" s="228" t="str">
        <f>IF(Q71&lt;&gt;"",IF(Q71&lt;=Parametre_2018!B$4,IF(Parametre_2018!C$4&lt;&gt;"",IF(N71&lt;=Parametre_2018!C$4,IF(Parametre_2018!D$4&lt;&gt;"",IF(O71&lt;=Parametre_2018!D$4,"MCL",IF(Parametre_2018!I$4&lt;&gt;"",IF(N71&lt;=Parametre_2018!I$4,IF(Parametre_2018!J$4&lt;&gt;"",IF(O71&lt;=Parametre_2018!J$4,"CL",""),"CL"),""),IF(Parametre_2018!J$4&lt;&gt;"",IF(O71&lt;=Parametre_2018!J$4,"CL",""),"CL"))),"MCL"),IF(Parametre_2018!I$4&lt;&gt;"",IF(N71&lt;=Parametre_2018!I$4,IF(Parametre_2018!J$4&lt;&gt;"",IF(O71&lt;=Parametre_2018!J$4,"CL",""),"CL"),""),IF(Parametre_2018!J$4&lt;&gt;"",IF(O71&lt;=Parametre_2018!J$4,"CL",""),"CL"))),IF(Parametre_2018!D$4&lt;&gt;"",IF(O71&lt;=Parametre_2018!D$4,"MCL",IF(Parametre_2018!I$4&lt;&gt;"",IF(N71&lt;=Parametre_2018!I$4,IF(Parametre_2018!J$4&lt;&gt;"",IF(O71&lt;=Parametre_2018!J$4,"CL",""),"CL"),""),IF(Parametre_2018!J$4&lt;&gt;"",IF(O71&lt;=Parametre_2018!J$4,"CL",""),"CL"))),"MCL")),IF(Q71&lt;&gt;"",IF(AND(Q71&gt;Parametre_2018!B$4,Q71&lt;=Parametre_2018!H$4),IF(Parametre_2018!I$4&lt;&gt;"",IF(N71&lt;=Parametre_2018!I$4,IF(Parametre_2018!J$4&lt;&gt;"",IF(O71&lt;=Parametre_2018!J$4,"CL",""),"CL"),""),IF(Parametre_2018!J$4&lt;&gt;"",IF(O71&lt;=Parametre_2018!J$4,"CL",""),"CL")),""),"")),"")</f>
        <v/>
      </c>
      <c r="AC71" s="155"/>
      <c r="AD71" s="74"/>
      <c r="AE71" s="155"/>
      <c r="AF71" s="175"/>
      <c r="AG71" s="1"/>
      <c r="AI71" s="119"/>
      <c r="AJ71" s="119"/>
      <c r="AK71" s="119"/>
      <c r="AL71" s="119"/>
      <c r="AM71" s="119"/>
      <c r="AN71" s="119"/>
      <c r="AO71" s="119"/>
      <c r="AP71" s="119"/>
      <c r="AQ71" s="119"/>
      <c r="AR71" s="119"/>
      <c r="AS71" s="119"/>
      <c r="AT71" s="119"/>
      <c r="AU71" s="119"/>
      <c r="AV71" s="119"/>
      <c r="AW71" s="119"/>
      <c r="AX71" s="119"/>
      <c r="AY71" s="119"/>
    </row>
    <row r="72" spans="1:51" ht="36.9" customHeight="1" x14ac:dyDescent="0.25">
      <c r="A72" s="152">
        <v>86</v>
      </c>
      <c r="B72" s="152" t="s">
        <v>62</v>
      </c>
      <c r="C72" s="183" t="s">
        <v>433</v>
      </c>
      <c r="D72" s="183" t="s">
        <v>335</v>
      </c>
      <c r="E72" s="184" t="s">
        <v>50</v>
      </c>
      <c r="F72" s="185" t="s">
        <v>471</v>
      </c>
      <c r="G72" s="186">
        <v>43263</v>
      </c>
      <c r="H72" s="187" t="s">
        <v>477</v>
      </c>
      <c r="I72" s="192" t="s">
        <v>478</v>
      </c>
      <c r="J72" s="172" t="s">
        <v>476</v>
      </c>
      <c r="K72" s="164" t="s">
        <v>272</v>
      </c>
      <c r="L72" s="161" t="s">
        <v>162</v>
      </c>
      <c r="M72" s="163" t="s">
        <v>176</v>
      </c>
      <c r="N72" s="178" t="s">
        <v>60</v>
      </c>
      <c r="O72" s="198" t="s">
        <v>60</v>
      </c>
      <c r="P72" s="200">
        <v>2.06</v>
      </c>
      <c r="Q72" s="202">
        <v>1.96</v>
      </c>
      <c r="R72" s="213"/>
      <c r="S72" s="174"/>
      <c r="T72" s="174"/>
      <c r="U72" s="132" t="str">
        <f t="shared" si="2"/>
        <v/>
      </c>
      <c r="V72" s="152"/>
      <c r="W72" s="152"/>
      <c r="X72" s="155"/>
      <c r="Y72" s="226" t="str">
        <f>IF(Q72&lt;&gt;"",IF(Q72&lt;=1.2,IF(O72="A","CR",IF(V72&lt;&gt;"",IF(Parametre_2018!N$4=1,IF(LEFT(V72,1)="1",IF(V72&lt;&gt;"",IF(Parametre_2018!O$4&lt;&gt;"",IF(N72&lt;=Parametre_2018!O$4,IF(V72&lt;&gt;"",IF(Parametre_2018!P$4&lt;&gt;"",IF(O72&lt;=Parametre_2018!P$4,"PLD",""),"PLD"),""),""),IF(V72&lt;&gt;"",IF(Parametre_2018!P$4&lt;&gt;"",IF(O72&lt;=Parametre_2018!P$4,"PLD",""),"PLD"),"")),""),""),IF(V72&lt;&gt;"",IF(Parametre_2018!O$4&lt;&gt;"",IF(N72&lt;=Parametre_2018!O$4,IF(V72&lt;&gt;"",IF(Parametre_2018!P$4&lt;&gt;"",IF(O72&lt;=Parametre_2018!P$4,"PLD",""),"PLD"),""),""),IF(V72&lt;&gt;"",IF(Parametre_2018!P$4&lt;&gt;"",IF(O72&lt;=Parametre_2018!P$4,"PLD",""),"PLD"),"")),"")),"")),IF(V72&lt;&gt;"",IF(Parametre_2018!N$4=1,IF(LEFT(V72,1)="1",IF(V72&lt;&gt;"",IF(Parametre_2018!O$4&lt;&gt;"",IF(N72&lt;=Parametre_2018!O$4,IF(V72&lt;&gt;"",IF(Parametre_2018!P$4&lt;&gt;"",IF(O72&lt;=Parametre_2018!P$4,"PLD",""),"PLD"),""),""),IF(V72&lt;&gt;"",IF(Parametre_2018!P$4&lt;&gt;"",IF(O72&lt;=Parametre_2018!P$4,"PLD",""),"PLD"),"")),""),""),IF(V72&lt;&gt;"",IF(Parametre_2018!O$4&lt;&gt;"",IF(N72&lt;=Parametre_2018!O$4,IF(V72&lt;&gt;"",IF(Parametre_2018!P$4&lt;&gt;"",IF(O72&lt;=Parametre_2018!P$4,"PLD",""),"PLD"),""),""),IF(V72&lt;&gt;"",IF(Parametre_2018!P$4&lt;&gt;"",IF(O72&lt;=Parametre_2018!P$4,"PLD",""),"PLD"),"")),"")),"")),"")</f>
        <v/>
      </c>
      <c r="Z72" s="152"/>
      <c r="AA72" s="227"/>
      <c r="AB72" s="228" t="str">
        <f>IF(Q72&lt;&gt;"",IF(Q72&lt;=Parametre_2018!B$4,IF(Parametre_2018!C$4&lt;&gt;"",IF(N72&lt;=Parametre_2018!C$4,IF(Parametre_2018!D$4&lt;&gt;"",IF(O72&lt;=Parametre_2018!D$4,"MCL",IF(Parametre_2018!I$4&lt;&gt;"",IF(N72&lt;=Parametre_2018!I$4,IF(Parametre_2018!J$4&lt;&gt;"",IF(O72&lt;=Parametre_2018!J$4,"CL",""),"CL"),""),IF(Parametre_2018!J$4&lt;&gt;"",IF(O72&lt;=Parametre_2018!J$4,"CL",""),"CL"))),"MCL"),IF(Parametre_2018!I$4&lt;&gt;"",IF(N72&lt;=Parametre_2018!I$4,IF(Parametre_2018!J$4&lt;&gt;"",IF(O72&lt;=Parametre_2018!J$4,"CL",""),"CL"),""),IF(Parametre_2018!J$4&lt;&gt;"",IF(O72&lt;=Parametre_2018!J$4,"CL",""),"CL"))),IF(Parametre_2018!D$4&lt;&gt;"",IF(O72&lt;=Parametre_2018!D$4,"MCL",IF(Parametre_2018!I$4&lt;&gt;"",IF(N72&lt;=Parametre_2018!I$4,IF(Parametre_2018!J$4&lt;&gt;"",IF(O72&lt;=Parametre_2018!J$4,"CL",""),"CL"),""),IF(Parametre_2018!J$4&lt;&gt;"",IF(O72&lt;=Parametre_2018!J$4,"CL",""),"CL"))),"MCL")),IF(Q72&lt;&gt;"",IF(AND(Q72&gt;Parametre_2018!B$4,Q72&lt;=Parametre_2018!H$4),IF(Parametre_2018!I$4&lt;&gt;"",IF(N72&lt;=Parametre_2018!I$4,IF(Parametre_2018!J$4&lt;&gt;"",IF(O72&lt;=Parametre_2018!J$4,"CL",""),"CL"),""),IF(Parametre_2018!J$4&lt;&gt;"",IF(O72&lt;=Parametre_2018!J$4,"CL",""),"CL")),""),"")),"")</f>
        <v/>
      </c>
      <c r="AC72" s="155"/>
      <c r="AD72" s="74"/>
      <c r="AE72" s="155"/>
      <c r="AF72" s="175"/>
      <c r="AG72" s="1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  <c r="AS72" s="119"/>
      <c r="AT72" s="119"/>
      <c r="AU72" s="119"/>
      <c r="AV72" s="119"/>
      <c r="AW72" s="119"/>
      <c r="AX72" s="119"/>
      <c r="AY72" s="119"/>
    </row>
    <row r="73" spans="1:51" ht="36.9" customHeight="1" x14ac:dyDescent="0.25">
      <c r="A73" s="152">
        <v>93</v>
      </c>
      <c r="B73" s="152" t="s">
        <v>62</v>
      </c>
      <c r="C73" s="183" t="s">
        <v>442</v>
      </c>
      <c r="D73" s="183" t="s">
        <v>325</v>
      </c>
      <c r="E73" s="184" t="s">
        <v>50</v>
      </c>
      <c r="F73" s="185" t="s">
        <v>471</v>
      </c>
      <c r="G73" s="195">
        <v>43262</v>
      </c>
      <c r="H73" s="188" t="s">
        <v>493</v>
      </c>
      <c r="I73" s="234" t="s">
        <v>478</v>
      </c>
      <c r="J73" s="219" t="s">
        <v>494</v>
      </c>
      <c r="K73" s="164" t="s">
        <v>279</v>
      </c>
      <c r="L73" s="161" t="s">
        <v>121</v>
      </c>
      <c r="M73" s="163" t="s">
        <v>177</v>
      </c>
      <c r="N73" s="178" t="s">
        <v>59</v>
      </c>
      <c r="O73" s="198" t="s">
        <v>59</v>
      </c>
      <c r="P73" s="200">
        <v>1.95</v>
      </c>
      <c r="Q73" s="202">
        <v>1.96</v>
      </c>
      <c r="R73" s="213"/>
      <c r="S73" s="174"/>
      <c r="T73" s="174"/>
      <c r="U73" s="132" t="str">
        <f t="shared" si="2"/>
        <v/>
      </c>
      <c r="V73" s="152"/>
      <c r="W73" s="152"/>
      <c r="X73" s="204" t="s">
        <v>62</v>
      </c>
      <c r="Y73" s="226" t="str">
        <f>IF(Q73&lt;&gt;"",IF(Q73&lt;=1.2,IF(O73="A","CR",IF(V73&lt;&gt;"",IF(Parametre_2018!N$4=1,IF(LEFT(V73,1)="1",IF(V73&lt;&gt;"",IF(Parametre_2018!O$4&lt;&gt;"",IF(N73&lt;=Parametre_2018!O$4,IF(V73&lt;&gt;"",IF(Parametre_2018!P$4&lt;&gt;"",IF(O73&lt;=Parametre_2018!P$4,"PLD",""),"PLD"),""),""),IF(V73&lt;&gt;"",IF(Parametre_2018!P$4&lt;&gt;"",IF(O73&lt;=Parametre_2018!P$4,"PLD",""),"PLD"),"")),""),""),IF(V73&lt;&gt;"",IF(Parametre_2018!O$4&lt;&gt;"",IF(N73&lt;=Parametre_2018!O$4,IF(V73&lt;&gt;"",IF(Parametre_2018!P$4&lt;&gt;"",IF(O73&lt;=Parametre_2018!P$4,"PLD",""),"PLD"),""),""),IF(V73&lt;&gt;"",IF(Parametre_2018!P$4&lt;&gt;"",IF(O73&lt;=Parametre_2018!P$4,"PLD",""),"PLD"),"")),"")),"")),IF(V73&lt;&gt;"",IF(Parametre_2018!N$4=1,IF(LEFT(V73,1)="1",IF(V73&lt;&gt;"",IF(Parametre_2018!O$4&lt;&gt;"",IF(N73&lt;=Parametre_2018!O$4,IF(V73&lt;&gt;"",IF(Parametre_2018!P$4&lt;&gt;"",IF(O73&lt;=Parametre_2018!P$4,"PLD",""),"PLD"),""),""),IF(V73&lt;&gt;"",IF(Parametre_2018!P$4&lt;&gt;"",IF(O73&lt;=Parametre_2018!P$4,"PLD",""),"PLD"),"")),""),""),IF(V73&lt;&gt;"",IF(Parametre_2018!O$4&lt;&gt;"",IF(N73&lt;=Parametre_2018!O$4,IF(V73&lt;&gt;"",IF(Parametre_2018!P$4&lt;&gt;"",IF(O73&lt;=Parametre_2018!P$4,"PLD",""),"PLD"),""),""),IF(V73&lt;&gt;"",IF(Parametre_2018!P$4&lt;&gt;"",IF(O73&lt;=Parametre_2018!P$4,"PLD",""),"PLD"),"")),"")),"")),"")</f>
        <v/>
      </c>
      <c r="Z73" s="152"/>
      <c r="AA73" s="227"/>
      <c r="AB73" s="228" t="str">
        <f>IF(Q73&lt;&gt;"",IF(Q73&lt;=Parametre_2018!B$4,IF(Parametre_2018!C$4&lt;&gt;"",IF(N73&lt;=Parametre_2018!C$4,IF(Parametre_2018!D$4&lt;&gt;"",IF(O73&lt;=Parametre_2018!D$4,"MCL",IF(Parametre_2018!I$4&lt;&gt;"",IF(N73&lt;=Parametre_2018!I$4,IF(Parametre_2018!J$4&lt;&gt;"",IF(O73&lt;=Parametre_2018!J$4,"CL",""),"CL"),""),IF(Parametre_2018!J$4&lt;&gt;"",IF(O73&lt;=Parametre_2018!J$4,"CL",""),"CL"))),"MCL"),IF(Parametre_2018!I$4&lt;&gt;"",IF(N73&lt;=Parametre_2018!I$4,IF(Parametre_2018!J$4&lt;&gt;"",IF(O73&lt;=Parametre_2018!J$4,"CL",""),"CL"),""),IF(Parametre_2018!J$4&lt;&gt;"",IF(O73&lt;=Parametre_2018!J$4,"CL",""),"CL"))),IF(Parametre_2018!D$4&lt;&gt;"",IF(O73&lt;=Parametre_2018!D$4,"MCL",IF(Parametre_2018!I$4&lt;&gt;"",IF(N73&lt;=Parametre_2018!I$4,IF(Parametre_2018!J$4&lt;&gt;"",IF(O73&lt;=Parametre_2018!J$4,"CL",""),"CL"),""),IF(Parametre_2018!J$4&lt;&gt;"",IF(O73&lt;=Parametre_2018!J$4,"CL",""),"CL"))),"MCL")),IF(Q73&lt;&gt;"",IF(AND(Q73&gt;Parametre_2018!B$4,Q73&lt;=Parametre_2018!H$4),IF(Parametre_2018!I$4&lt;&gt;"",IF(N73&lt;=Parametre_2018!I$4,IF(Parametre_2018!J$4&lt;&gt;"",IF(O73&lt;=Parametre_2018!J$4,"CL",""),"CL"),""),IF(Parametre_2018!J$4&lt;&gt;"",IF(O73&lt;=Parametre_2018!J$4,"CL",""),"CL")),""),"")),"")</f>
        <v/>
      </c>
      <c r="AC73" s="155"/>
      <c r="AD73" s="74"/>
      <c r="AE73" s="155"/>
      <c r="AF73" s="175"/>
      <c r="AG73" s="1"/>
      <c r="AI73" s="119"/>
      <c r="AJ73" s="119"/>
      <c r="AK73" s="119"/>
      <c r="AL73" s="119"/>
      <c r="AM73" s="119"/>
      <c r="AN73" s="119"/>
      <c r="AO73" s="119"/>
      <c r="AP73" s="119"/>
      <c r="AQ73" s="119"/>
      <c r="AR73" s="119"/>
      <c r="AS73" s="119"/>
      <c r="AT73" s="119"/>
      <c r="AU73" s="119"/>
      <c r="AV73" s="119"/>
      <c r="AW73" s="119"/>
      <c r="AX73" s="119"/>
      <c r="AY73" s="119"/>
    </row>
    <row r="74" spans="1:51" ht="36.9" customHeight="1" x14ac:dyDescent="0.25">
      <c r="A74" s="152">
        <v>91</v>
      </c>
      <c r="B74" s="152" t="s">
        <v>62</v>
      </c>
      <c r="C74" s="183" t="s">
        <v>438</v>
      </c>
      <c r="D74" s="183" t="s">
        <v>439</v>
      </c>
      <c r="E74" s="184" t="s">
        <v>50</v>
      </c>
      <c r="F74" s="185" t="s">
        <v>471</v>
      </c>
      <c r="G74" s="195">
        <v>43262</v>
      </c>
      <c r="H74" s="188" t="s">
        <v>487</v>
      </c>
      <c r="I74" s="234" t="s">
        <v>19</v>
      </c>
      <c r="J74" s="219" t="s">
        <v>488</v>
      </c>
      <c r="K74" s="164" t="s">
        <v>277</v>
      </c>
      <c r="L74" s="161" t="s">
        <v>150</v>
      </c>
      <c r="M74" s="163" t="s">
        <v>132</v>
      </c>
      <c r="N74" s="178" t="s">
        <v>62</v>
      </c>
      <c r="O74" s="198" t="s">
        <v>60</v>
      </c>
      <c r="P74" s="200">
        <v>2.09</v>
      </c>
      <c r="Q74" s="202">
        <v>1.97</v>
      </c>
      <c r="R74" s="213"/>
      <c r="S74" s="174"/>
      <c r="T74" s="174"/>
      <c r="U74" s="132" t="str">
        <f t="shared" si="2"/>
        <v/>
      </c>
      <c r="V74" s="152"/>
      <c r="W74" s="152"/>
      <c r="X74" s="204" t="s">
        <v>62</v>
      </c>
      <c r="Y74" s="226" t="str">
        <f>IF(Q74&lt;&gt;"",IF(Q74&lt;=1.2,IF(O74="A","CR",IF(V74&lt;&gt;"",IF(Parametre_2018!N$4=1,IF(LEFT(V74,1)="1",IF(V74&lt;&gt;"",IF(Parametre_2018!O$4&lt;&gt;"",IF(N74&lt;=Parametre_2018!O$4,IF(V74&lt;&gt;"",IF(Parametre_2018!P$4&lt;&gt;"",IF(O74&lt;=Parametre_2018!P$4,"PLD",""),"PLD"),""),""),IF(V74&lt;&gt;"",IF(Parametre_2018!P$4&lt;&gt;"",IF(O74&lt;=Parametre_2018!P$4,"PLD",""),"PLD"),"")),""),""),IF(V74&lt;&gt;"",IF(Parametre_2018!O$4&lt;&gt;"",IF(N74&lt;=Parametre_2018!O$4,IF(V74&lt;&gt;"",IF(Parametre_2018!P$4&lt;&gt;"",IF(O74&lt;=Parametre_2018!P$4,"PLD",""),"PLD"),""),""),IF(V74&lt;&gt;"",IF(Parametre_2018!P$4&lt;&gt;"",IF(O74&lt;=Parametre_2018!P$4,"PLD",""),"PLD"),"")),"")),"")),IF(V74&lt;&gt;"",IF(Parametre_2018!N$4=1,IF(LEFT(V74,1)="1",IF(V74&lt;&gt;"",IF(Parametre_2018!O$4&lt;&gt;"",IF(N74&lt;=Parametre_2018!O$4,IF(V74&lt;&gt;"",IF(Parametre_2018!P$4&lt;&gt;"",IF(O74&lt;=Parametre_2018!P$4,"PLD",""),"PLD"),""),""),IF(V74&lt;&gt;"",IF(Parametre_2018!P$4&lt;&gt;"",IF(O74&lt;=Parametre_2018!P$4,"PLD",""),"PLD"),"")),""),""),IF(V74&lt;&gt;"",IF(Parametre_2018!O$4&lt;&gt;"",IF(N74&lt;=Parametre_2018!O$4,IF(V74&lt;&gt;"",IF(Parametre_2018!P$4&lt;&gt;"",IF(O74&lt;=Parametre_2018!P$4,"PLD",""),"PLD"),""),""),IF(V74&lt;&gt;"",IF(Parametre_2018!P$4&lt;&gt;"",IF(O74&lt;=Parametre_2018!P$4,"PLD",""),"PLD"),"")),"")),"")),"")</f>
        <v/>
      </c>
      <c r="Z74" s="152"/>
      <c r="AA74" s="227"/>
      <c r="AB74" s="228" t="str">
        <f>IF(Q74&lt;&gt;"",IF(Q74&lt;=Parametre_2018!B$4,IF(Parametre_2018!C$4&lt;&gt;"",IF(N74&lt;=Parametre_2018!C$4,IF(Parametre_2018!D$4&lt;&gt;"",IF(O74&lt;=Parametre_2018!D$4,"MCL",IF(Parametre_2018!I$4&lt;&gt;"",IF(N74&lt;=Parametre_2018!I$4,IF(Parametre_2018!J$4&lt;&gt;"",IF(O74&lt;=Parametre_2018!J$4,"CL",""),"CL"),""),IF(Parametre_2018!J$4&lt;&gt;"",IF(O74&lt;=Parametre_2018!J$4,"CL",""),"CL"))),"MCL"),IF(Parametre_2018!I$4&lt;&gt;"",IF(N74&lt;=Parametre_2018!I$4,IF(Parametre_2018!J$4&lt;&gt;"",IF(O74&lt;=Parametre_2018!J$4,"CL",""),"CL"),""),IF(Parametre_2018!J$4&lt;&gt;"",IF(O74&lt;=Parametre_2018!J$4,"CL",""),"CL"))),IF(Parametre_2018!D$4&lt;&gt;"",IF(O74&lt;=Parametre_2018!D$4,"MCL",IF(Parametre_2018!I$4&lt;&gt;"",IF(N74&lt;=Parametre_2018!I$4,IF(Parametre_2018!J$4&lt;&gt;"",IF(O74&lt;=Parametre_2018!J$4,"CL",""),"CL"),""),IF(Parametre_2018!J$4&lt;&gt;"",IF(O74&lt;=Parametre_2018!J$4,"CL",""),"CL"))),"MCL")),IF(Q74&lt;&gt;"",IF(AND(Q74&gt;Parametre_2018!B$4,Q74&lt;=Parametre_2018!H$4),IF(Parametre_2018!I$4&lt;&gt;"",IF(N74&lt;=Parametre_2018!I$4,IF(Parametre_2018!J$4&lt;&gt;"",IF(O74&lt;=Parametre_2018!J$4,"CL",""),"CL"),""),IF(Parametre_2018!J$4&lt;&gt;"",IF(O74&lt;=Parametre_2018!J$4,"CL",""),"CL")),""),"")),"")</f>
        <v/>
      </c>
      <c r="AC74" s="155"/>
      <c r="AD74" s="74"/>
      <c r="AE74" s="155"/>
      <c r="AF74" s="175"/>
      <c r="AG74" s="1"/>
      <c r="AH74" s="1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  <c r="AS74" s="119"/>
      <c r="AT74" s="119"/>
      <c r="AU74" s="119"/>
      <c r="AV74" s="119"/>
      <c r="AW74" s="119"/>
      <c r="AX74" s="119"/>
      <c r="AY74" s="119"/>
    </row>
    <row r="75" spans="1:51" ht="36.9" customHeight="1" x14ac:dyDescent="0.25">
      <c r="A75" s="152">
        <v>63</v>
      </c>
      <c r="B75" s="152" t="s">
        <v>62</v>
      </c>
      <c r="C75" s="183" t="s">
        <v>401</v>
      </c>
      <c r="D75" s="183" t="s">
        <v>339</v>
      </c>
      <c r="E75" s="184" t="s">
        <v>50</v>
      </c>
      <c r="F75" s="185" t="s">
        <v>470</v>
      </c>
      <c r="G75" s="195">
        <v>43262</v>
      </c>
      <c r="H75" s="187" t="s">
        <v>491</v>
      </c>
      <c r="I75" s="192" t="s">
        <v>44</v>
      </c>
      <c r="J75" s="216" t="s">
        <v>492</v>
      </c>
      <c r="K75" s="164" t="s">
        <v>249</v>
      </c>
      <c r="L75" s="161" t="s">
        <v>125</v>
      </c>
      <c r="M75" s="163" t="s">
        <v>119</v>
      </c>
      <c r="N75" s="178" t="s">
        <v>27</v>
      </c>
      <c r="O75" s="198" t="s">
        <v>25</v>
      </c>
      <c r="P75" s="200">
        <v>1.8</v>
      </c>
      <c r="Q75" s="202">
        <v>1.98</v>
      </c>
      <c r="R75" s="212"/>
      <c r="S75" s="173"/>
      <c r="T75" s="173"/>
      <c r="U75" s="132" t="str">
        <f t="shared" si="2"/>
        <v/>
      </c>
      <c r="V75" s="225"/>
      <c r="W75" s="225"/>
      <c r="X75" s="173"/>
      <c r="Y75" s="226" t="str">
        <f>IF(Q75&lt;&gt;"",IF(Q75&lt;=1.2,IF(O75="A","CR",IF(V75&lt;&gt;"",IF(Parametre_2018!N$4=1,IF(LEFT(V75,1)="1",IF(V75&lt;&gt;"",IF(Parametre_2018!O$4&lt;&gt;"",IF(N75&lt;=Parametre_2018!O$4,IF(V75&lt;&gt;"",IF(Parametre_2018!P$4&lt;&gt;"",IF(O75&lt;=Parametre_2018!P$4,"PLD",""),"PLD"),""),""),IF(V75&lt;&gt;"",IF(Parametre_2018!P$4&lt;&gt;"",IF(O75&lt;=Parametre_2018!P$4,"PLD",""),"PLD"),"")),""),""),IF(V75&lt;&gt;"",IF(Parametre_2018!O$4&lt;&gt;"",IF(N75&lt;=Parametre_2018!O$4,IF(V75&lt;&gt;"",IF(Parametre_2018!P$4&lt;&gt;"",IF(O75&lt;=Parametre_2018!P$4,"PLD",""),"PLD"),""),""),IF(V75&lt;&gt;"",IF(Parametre_2018!P$4&lt;&gt;"",IF(O75&lt;=Parametre_2018!P$4,"PLD",""),"PLD"),"")),"")),"")),IF(V75&lt;&gt;"",IF(Parametre_2018!N$4=1,IF(LEFT(V75,1)="1",IF(V75&lt;&gt;"",IF(Parametre_2018!O$4&lt;&gt;"",IF(N75&lt;=Parametre_2018!O$4,IF(V75&lt;&gt;"",IF(Parametre_2018!P$4&lt;&gt;"",IF(O75&lt;=Parametre_2018!P$4,"PLD",""),"PLD"),""),""),IF(V75&lt;&gt;"",IF(Parametre_2018!P$4&lt;&gt;"",IF(O75&lt;=Parametre_2018!P$4,"PLD",""),"PLD"),"")),""),""),IF(V75&lt;&gt;"",IF(Parametre_2018!O$4&lt;&gt;"",IF(N75&lt;=Parametre_2018!O$4,IF(V75&lt;&gt;"",IF(Parametre_2018!P$4&lt;&gt;"",IF(O75&lt;=Parametre_2018!P$4,"PLD",""),"PLD"),""),""),IF(V75&lt;&gt;"",IF(Parametre_2018!P$4&lt;&gt;"",IF(O75&lt;=Parametre_2018!P$4,"PLD",""),"PLD"),"")),"")),"")),"")</f>
        <v/>
      </c>
      <c r="Z75" s="225"/>
      <c r="AA75" s="227"/>
      <c r="AB75" s="228" t="str">
        <f>IF(Q75&lt;&gt;"",IF(Q75&lt;=Parametre_2018!B$4,IF(Parametre_2018!C$4&lt;&gt;"",IF(N75&lt;=Parametre_2018!C$4,IF(Parametre_2018!D$4&lt;&gt;"",IF(O75&lt;=Parametre_2018!D$4,"MCL",IF(Parametre_2018!I$4&lt;&gt;"",IF(N75&lt;=Parametre_2018!I$4,IF(Parametre_2018!J$4&lt;&gt;"",IF(O75&lt;=Parametre_2018!J$4,"CL",""),"CL"),""),IF(Parametre_2018!J$4&lt;&gt;"",IF(O75&lt;=Parametre_2018!J$4,"CL",""),"CL"))),"MCL"),IF(Parametre_2018!I$4&lt;&gt;"",IF(N75&lt;=Parametre_2018!I$4,IF(Parametre_2018!J$4&lt;&gt;"",IF(O75&lt;=Parametre_2018!J$4,"CL",""),"CL"),""),IF(Parametre_2018!J$4&lt;&gt;"",IF(O75&lt;=Parametre_2018!J$4,"CL",""),"CL"))),IF(Parametre_2018!D$4&lt;&gt;"",IF(O75&lt;=Parametre_2018!D$4,"MCL",IF(Parametre_2018!I$4&lt;&gt;"",IF(N75&lt;=Parametre_2018!I$4,IF(Parametre_2018!J$4&lt;&gt;"",IF(O75&lt;=Parametre_2018!J$4,"CL",""),"CL"),""),IF(Parametre_2018!J$4&lt;&gt;"",IF(O75&lt;=Parametre_2018!J$4,"CL",""),"CL"))),"MCL")),IF(Q75&lt;&gt;"",IF(AND(Q75&gt;Parametre_2018!B$4,Q75&lt;=Parametre_2018!H$4),IF(Parametre_2018!I$4&lt;&gt;"",IF(N75&lt;=Parametre_2018!I$4,IF(Parametre_2018!J$4&lt;&gt;"",IF(O75&lt;=Parametre_2018!J$4,"CL",""),"CL"),""),IF(Parametre_2018!J$4&lt;&gt;"",IF(O75&lt;=Parametre_2018!J$4,"CL",""),"CL")),""),"")),"")</f>
        <v/>
      </c>
      <c r="AC75" s="173"/>
      <c r="AD75" s="74"/>
      <c r="AE75" s="173"/>
      <c r="AF75" s="173"/>
      <c r="AG75" s="1"/>
      <c r="AI75" s="119"/>
      <c r="AJ75" s="119"/>
      <c r="AK75" s="119"/>
      <c r="AL75" s="119"/>
      <c r="AM75" s="119"/>
      <c r="AN75" s="119"/>
      <c r="AO75" s="119"/>
      <c r="AP75" s="119"/>
      <c r="AQ75" s="119"/>
      <c r="AR75" s="119"/>
      <c r="AS75" s="119"/>
      <c r="AT75" s="119"/>
      <c r="AU75" s="119"/>
      <c r="AV75" s="119"/>
      <c r="AW75" s="119"/>
      <c r="AX75" s="119"/>
      <c r="AY75" s="119"/>
    </row>
    <row r="76" spans="1:51" ht="36.9" customHeight="1" x14ac:dyDescent="0.25">
      <c r="A76" s="152">
        <v>99</v>
      </c>
      <c r="B76" s="152" t="s">
        <v>62</v>
      </c>
      <c r="C76" s="183" t="s">
        <v>449</v>
      </c>
      <c r="D76" s="183" t="s">
        <v>335</v>
      </c>
      <c r="E76" s="184" t="s">
        <v>50</v>
      </c>
      <c r="F76" s="185" t="s">
        <v>471</v>
      </c>
      <c r="G76" s="186">
        <v>43263</v>
      </c>
      <c r="H76" s="192" t="s">
        <v>47</v>
      </c>
      <c r="I76" s="192" t="s">
        <v>19</v>
      </c>
      <c r="J76" s="172" t="s">
        <v>475</v>
      </c>
      <c r="K76" s="164" t="s">
        <v>285</v>
      </c>
      <c r="L76" s="161" t="s">
        <v>166</v>
      </c>
      <c r="M76" s="163" t="s">
        <v>117</v>
      </c>
      <c r="N76" s="178" t="s">
        <v>59</v>
      </c>
      <c r="O76" s="198" t="s">
        <v>27</v>
      </c>
      <c r="P76" s="200">
        <v>1.87</v>
      </c>
      <c r="Q76" s="205">
        <v>2.0099999999999998</v>
      </c>
      <c r="R76" s="213"/>
      <c r="S76" s="174"/>
      <c r="T76" s="174"/>
      <c r="U76" s="132" t="str">
        <f t="shared" si="2"/>
        <v/>
      </c>
      <c r="V76" s="152"/>
      <c r="W76" s="152"/>
      <c r="X76" s="155"/>
      <c r="Y76" s="226" t="str">
        <f>IF(Q76&lt;&gt;"",IF(Q76&lt;=1.2,IF(O76="A","CR",IF(V76&lt;&gt;"",IF(Parametre_2018!N$4=1,IF(LEFT(V76,1)="1",IF(V76&lt;&gt;"",IF(Parametre_2018!O$4&lt;&gt;"",IF(N76&lt;=Parametre_2018!O$4,IF(V76&lt;&gt;"",IF(Parametre_2018!P$4&lt;&gt;"",IF(O76&lt;=Parametre_2018!P$4,"PLD",""),"PLD"),""),""),IF(V76&lt;&gt;"",IF(Parametre_2018!P$4&lt;&gt;"",IF(O76&lt;=Parametre_2018!P$4,"PLD",""),"PLD"),"")),""),""),IF(V76&lt;&gt;"",IF(Parametre_2018!O$4&lt;&gt;"",IF(N76&lt;=Parametre_2018!O$4,IF(V76&lt;&gt;"",IF(Parametre_2018!P$4&lt;&gt;"",IF(O76&lt;=Parametre_2018!P$4,"PLD",""),"PLD"),""),""),IF(V76&lt;&gt;"",IF(Parametre_2018!P$4&lt;&gt;"",IF(O76&lt;=Parametre_2018!P$4,"PLD",""),"PLD"),"")),"")),"")),IF(V76&lt;&gt;"",IF(Parametre_2018!N$4=1,IF(LEFT(V76,1)="1",IF(V76&lt;&gt;"",IF(Parametre_2018!O$4&lt;&gt;"",IF(N76&lt;=Parametre_2018!O$4,IF(V76&lt;&gt;"",IF(Parametre_2018!P$4&lt;&gt;"",IF(O76&lt;=Parametre_2018!P$4,"PLD",""),"PLD"),""),""),IF(V76&lt;&gt;"",IF(Parametre_2018!P$4&lt;&gt;"",IF(O76&lt;=Parametre_2018!P$4,"PLD",""),"PLD"),"")),""),""),IF(V76&lt;&gt;"",IF(Parametre_2018!O$4&lt;&gt;"",IF(N76&lt;=Parametre_2018!O$4,IF(V76&lt;&gt;"",IF(Parametre_2018!P$4&lt;&gt;"",IF(O76&lt;=Parametre_2018!P$4,"PLD",""),"PLD"),""),""),IF(V76&lt;&gt;"",IF(Parametre_2018!P$4&lt;&gt;"",IF(O76&lt;=Parametre_2018!P$4,"PLD",""),"PLD"),"")),"")),"")),"")</f>
        <v/>
      </c>
      <c r="Z76" s="152"/>
      <c r="AA76" s="227"/>
      <c r="AB76" s="228" t="str">
        <f>IF(Q76&lt;&gt;"",IF(Q76&lt;=Parametre_2018!B$4,IF(Parametre_2018!C$4&lt;&gt;"",IF(N76&lt;=Parametre_2018!C$4,IF(Parametre_2018!D$4&lt;&gt;"",IF(O76&lt;=Parametre_2018!D$4,"MCL",IF(Parametre_2018!I$4&lt;&gt;"",IF(N76&lt;=Parametre_2018!I$4,IF(Parametre_2018!J$4&lt;&gt;"",IF(O76&lt;=Parametre_2018!J$4,"CL",""),"CL"),""),IF(Parametre_2018!J$4&lt;&gt;"",IF(O76&lt;=Parametre_2018!J$4,"CL",""),"CL"))),"MCL"),IF(Parametre_2018!I$4&lt;&gt;"",IF(N76&lt;=Parametre_2018!I$4,IF(Parametre_2018!J$4&lt;&gt;"",IF(O76&lt;=Parametre_2018!J$4,"CL",""),"CL"),""),IF(Parametre_2018!J$4&lt;&gt;"",IF(O76&lt;=Parametre_2018!J$4,"CL",""),"CL"))),IF(Parametre_2018!D$4&lt;&gt;"",IF(O76&lt;=Parametre_2018!D$4,"MCL",IF(Parametre_2018!I$4&lt;&gt;"",IF(N76&lt;=Parametre_2018!I$4,IF(Parametre_2018!J$4&lt;&gt;"",IF(O76&lt;=Parametre_2018!J$4,"CL",""),"CL"),""),IF(Parametre_2018!J$4&lt;&gt;"",IF(O76&lt;=Parametre_2018!J$4,"CL",""),"CL"))),"MCL")),IF(Q76&lt;&gt;"",IF(AND(Q76&gt;Parametre_2018!B$4,Q76&lt;=Parametre_2018!H$4),IF(Parametre_2018!I$4&lt;&gt;"",IF(N76&lt;=Parametre_2018!I$4,IF(Parametre_2018!J$4&lt;&gt;"",IF(O76&lt;=Parametre_2018!J$4,"CL",""),"CL"),""),IF(Parametre_2018!J$4&lt;&gt;"",IF(O76&lt;=Parametre_2018!J$4,"CL",""),"CL")),""),"")),"")</f>
        <v/>
      </c>
      <c r="AC76" s="155"/>
      <c r="AD76" s="74"/>
      <c r="AE76" s="155"/>
      <c r="AF76" s="175"/>
      <c r="AG76" s="1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  <c r="AS76" s="119"/>
      <c r="AT76" s="119"/>
      <c r="AU76" s="119"/>
      <c r="AV76" s="119"/>
      <c r="AW76" s="119"/>
      <c r="AX76" s="119"/>
      <c r="AY76" s="119"/>
    </row>
    <row r="77" spans="1:51" ht="36.75" customHeight="1" x14ac:dyDescent="0.25">
      <c r="A77" s="152">
        <v>14</v>
      </c>
      <c r="B77" s="152" t="s">
        <v>62</v>
      </c>
      <c r="C77" s="183" t="s">
        <v>328</v>
      </c>
      <c r="D77" s="183" t="s">
        <v>329</v>
      </c>
      <c r="E77" s="184" t="s">
        <v>50</v>
      </c>
      <c r="F77" s="185" t="s">
        <v>470</v>
      </c>
      <c r="G77" s="195">
        <v>43262</v>
      </c>
      <c r="H77" s="192" t="s">
        <v>502</v>
      </c>
      <c r="I77" s="192" t="s">
        <v>485</v>
      </c>
      <c r="J77" s="194" t="s">
        <v>503</v>
      </c>
      <c r="K77" s="164" t="s">
        <v>200</v>
      </c>
      <c r="L77" s="161" t="s">
        <v>128</v>
      </c>
      <c r="M77" s="163" t="s">
        <v>155</v>
      </c>
      <c r="N77" s="178" t="s">
        <v>27</v>
      </c>
      <c r="O77" s="198" t="s">
        <v>27</v>
      </c>
      <c r="P77" s="200">
        <v>1.89</v>
      </c>
      <c r="Q77" s="202">
        <v>2.02</v>
      </c>
      <c r="R77" s="207"/>
      <c r="S77" s="152"/>
      <c r="T77" s="152"/>
      <c r="U77" s="132" t="str">
        <f t="shared" si="2"/>
        <v/>
      </c>
      <c r="V77" s="55"/>
      <c r="W77" s="55"/>
      <c r="X77" s="58"/>
      <c r="Y77" s="226" t="str">
        <f>IF(Q77&lt;&gt;"",IF(Q77&lt;=1.2,IF(O77="A","CR",IF(V77&lt;&gt;"",IF(Parametre_2018!N$4=1,IF(LEFT(V77,1)="1",IF(V77&lt;&gt;"",IF(Parametre_2018!O$4&lt;&gt;"",IF(N77&lt;=Parametre_2018!O$4,IF(V77&lt;&gt;"",IF(Parametre_2018!P$4&lt;&gt;"",IF(O77&lt;=Parametre_2018!P$4,"PLD",""),"PLD"),""),""),IF(V77&lt;&gt;"",IF(Parametre_2018!P$4&lt;&gt;"",IF(O77&lt;=Parametre_2018!P$4,"PLD",""),"PLD"),"")),""),""),IF(V77&lt;&gt;"",IF(Parametre_2018!O$4&lt;&gt;"",IF(N77&lt;=Parametre_2018!O$4,IF(V77&lt;&gt;"",IF(Parametre_2018!P$4&lt;&gt;"",IF(O77&lt;=Parametre_2018!P$4,"PLD",""),"PLD"),""),""),IF(V77&lt;&gt;"",IF(Parametre_2018!P$4&lt;&gt;"",IF(O77&lt;=Parametre_2018!P$4,"PLD",""),"PLD"),"")),"")),"")),IF(V77&lt;&gt;"",IF(Parametre_2018!N$4=1,IF(LEFT(V77,1)="1",IF(V77&lt;&gt;"",IF(Parametre_2018!O$4&lt;&gt;"",IF(N77&lt;=Parametre_2018!O$4,IF(V77&lt;&gt;"",IF(Parametre_2018!P$4&lt;&gt;"",IF(O77&lt;=Parametre_2018!P$4,"PLD",""),"PLD"),""),""),IF(V77&lt;&gt;"",IF(Parametre_2018!P$4&lt;&gt;"",IF(O77&lt;=Parametre_2018!P$4,"PLD",""),"PLD"),"")),""),""),IF(V77&lt;&gt;"",IF(Parametre_2018!O$4&lt;&gt;"",IF(N77&lt;=Parametre_2018!O$4,IF(V77&lt;&gt;"",IF(Parametre_2018!P$4&lt;&gt;"",IF(O77&lt;=Parametre_2018!P$4,"PLD",""),"PLD"),""),""),IF(V77&lt;&gt;"",IF(Parametre_2018!P$4&lt;&gt;"",IF(O77&lt;=Parametre_2018!P$4,"PLD",""),"PLD"),"")),"")),"")),"")</f>
        <v/>
      </c>
      <c r="Z77" s="58"/>
      <c r="AA77" s="227"/>
      <c r="AB77" s="228" t="str">
        <f>IF(Q77&lt;&gt;"",IF(Q77&lt;=Parametre_2018!B$4,IF(Parametre_2018!C$4&lt;&gt;"",IF(N77&lt;=Parametre_2018!C$4,IF(Parametre_2018!D$4&lt;&gt;"",IF(O77&lt;=Parametre_2018!D$4,"MCL",IF(Parametre_2018!I$4&lt;&gt;"",IF(N77&lt;=Parametre_2018!I$4,IF(Parametre_2018!J$4&lt;&gt;"",IF(O77&lt;=Parametre_2018!J$4,"CL",""),"CL"),""),IF(Parametre_2018!J$4&lt;&gt;"",IF(O77&lt;=Parametre_2018!J$4,"CL",""),"CL"))),"MCL"),IF(Parametre_2018!I$4&lt;&gt;"",IF(N77&lt;=Parametre_2018!I$4,IF(Parametre_2018!J$4&lt;&gt;"",IF(O77&lt;=Parametre_2018!J$4,"CL",""),"CL"),""),IF(Parametre_2018!J$4&lt;&gt;"",IF(O77&lt;=Parametre_2018!J$4,"CL",""),"CL"))),IF(Parametre_2018!D$4&lt;&gt;"",IF(O77&lt;=Parametre_2018!D$4,"MCL",IF(Parametre_2018!I$4&lt;&gt;"",IF(N77&lt;=Parametre_2018!I$4,IF(Parametre_2018!J$4&lt;&gt;"",IF(O77&lt;=Parametre_2018!J$4,"CL",""),"CL"),""),IF(Parametre_2018!J$4&lt;&gt;"",IF(O77&lt;=Parametre_2018!J$4,"CL",""),"CL"))),"MCL")),IF(Q77&lt;&gt;"",IF(AND(Q77&gt;Parametre_2018!B$4,Q77&lt;=Parametre_2018!H$4),IF(Parametre_2018!I$4&lt;&gt;"",IF(N77&lt;=Parametre_2018!I$4,IF(Parametre_2018!J$4&lt;&gt;"",IF(O77&lt;=Parametre_2018!J$4,"CL",""),"CL"),""),IF(Parametre_2018!J$4&lt;&gt;"",IF(O77&lt;=Parametre_2018!J$4,"CL",""),"CL")),""),"")),"")</f>
        <v/>
      </c>
      <c r="AC77" s="89"/>
      <c r="AD77" s="74"/>
      <c r="AE77" s="77"/>
      <c r="AF77" s="54"/>
      <c r="AG77" s="1"/>
      <c r="AI77" s="245"/>
      <c r="AJ77" s="245"/>
      <c r="AK77" s="245"/>
      <c r="AL77" s="245"/>
      <c r="AM77" s="245"/>
      <c r="AN77" s="245"/>
      <c r="AO77" s="245"/>
      <c r="AP77" s="245"/>
      <c r="AQ77" s="245"/>
      <c r="AR77" s="119"/>
      <c r="AS77" s="119"/>
      <c r="AT77" s="119"/>
      <c r="AU77" s="119"/>
      <c r="AV77" s="119"/>
      <c r="AW77" s="119"/>
      <c r="AX77" s="119"/>
      <c r="AY77" s="119"/>
    </row>
    <row r="78" spans="1:51" ht="42" customHeight="1" x14ac:dyDescent="0.25">
      <c r="A78" s="152">
        <v>112</v>
      </c>
      <c r="B78" s="152" t="s">
        <v>62</v>
      </c>
      <c r="C78" s="183" t="s">
        <v>462</v>
      </c>
      <c r="D78" s="183" t="s">
        <v>370</v>
      </c>
      <c r="E78" s="184" t="s">
        <v>50</v>
      </c>
      <c r="F78" s="185" t="s">
        <v>470</v>
      </c>
      <c r="G78" s="186">
        <v>43263</v>
      </c>
      <c r="H78" s="187" t="s">
        <v>484</v>
      </c>
      <c r="I78" s="192" t="s">
        <v>485</v>
      </c>
      <c r="J78" s="172" t="s">
        <v>486</v>
      </c>
      <c r="K78" s="164" t="s">
        <v>298</v>
      </c>
      <c r="L78" s="161" t="s">
        <v>170</v>
      </c>
      <c r="M78" s="163" t="s">
        <v>186</v>
      </c>
      <c r="N78" s="178" t="s">
        <v>62</v>
      </c>
      <c r="O78" s="198" t="s">
        <v>25</v>
      </c>
      <c r="P78" s="200">
        <v>1.83</v>
      </c>
      <c r="Q78" s="202">
        <v>2.04</v>
      </c>
      <c r="R78" s="213"/>
      <c r="S78" s="174"/>
      <c r="T78" s="174"/>
      <c r="U78" s="132" t="str">
        <f t="shared" si="2"/>
        <v/>
      </c>
      <c r="V78" s="152"/>
      <c r="W78" s="152"/>
      <c r="X78" s="204" t="s">
        <v>62</v>
      </c>
      <c r="Y78" s="226" t="str">
        <f>IF(Q78&lt;&gt;"",IF(Q78&lt;=1.2,IF(O78="A","CR",IF(V78&lt;&gt;"",IF(Parametre_2018!N$4=1,IF(LEFT(V78,1)="1",IF(V78&lt;&gt;"",IF(Parametre_2018!O$4&lt;&gt;"",IF(N78&lt;=Parametre_2018!O$4,IF(V78&lt;&gt;"",IF(Parametre_2018!P$4&lt;&gt;"",IF(O78&lt;=Parametre_2018!P$4,"PLD",""),"PLD"),""),""),IF(V78&lt;&gt;"",IF(Parametre_2018!P$4&lt;&gt;"",IF(O78&lt;=Parametre_2018!P$4,"PLD",""),"PLD"),"")),""),""),IF(V78&lt;&gt;"",IF(Parametre_2018!O$4&lt;&gt;"",IF(N78&lt;=Parametre_2018!O$4,IF(V78&lt;&gt;"",IF(Parametre_2018!P$4&lt;&gt;"",IF(O78&lt;=Parametre_2018!P$4,"PLD",""),"PLD"),""),""),IF(V78&lt;&gt;"",IF(Parametre_2018!P$4&lt;&gt;"",IF(O78&lt;=Parametre_2018!P$4,"PLD",""),"PLD"),"")),"")),"")),IF(V78&lt;&gt;"",IF(Parametre_2018!N$4=1,IF(LEFT(V78,1)="1",IF(V78&lt;&gt;"",IF(Parametre_2018!O$4&lt;&gt;"",IF(N78&lt;=Parametre_2018!O$4,IF(V78&lt;&gt;"",IF(Parametre_2018!P$4&lt;&gt;"",IF(O78&lt;=Parametre_2018!P$4,"PLD",""),"PLD"),""),""),IF(V78&lt;&gt;"",IF(Parametre_2018!P$4&lt;&gt;"",IF(O78&lt;=Parametre_2018!P$4,"PLD",""),"PLD"),"")),""),""),IF(V78&lt;&gt;"",IF(Parametre_2018!O$4&lt;&gt;"",IF(N78&lt;=Parametre_2018!O$4,IF(V78&lt;&gt;"",IF(Parametre_2018!P$4&lt;&gt;"",IF(O78&lt;=Parametre_2018!P$4,"PLD",""),"PLD"),""),""),IF(V78&lt;&gt;"",IF(Parametre_2018!P$4&lt;&gt;"",IF(O78&lt;=Parametre_2018!P$4,"PLD",""),"PLD"),"")),"")),"")),"")</f>
        <v/>
      </c>
      <c r="Z78" s="152"/>
      <c r="AA78" s="227"/>
      <c r="AB78" s="228" t="str">
        <f>IF(Q78&lt;&gt;"",IF(Q78&lt;=Parametre_2018!B$4,IF(Parametre_2018!C$4&lt;&gt;"",IF(N78&lt;=Parametre_2018!C$4,IF(Parametre_2018!D$4&lt;&gt;"",IF(O78&lt;=Parametre_2018!D$4,"MCL",IF(Parametre_2018!I$4&lt;&gt;"",IF(N78&lt;=Parametre_2018!I$4,IF(Parametre_2018!J$4&lt;&gt;"",IF(O78&lt;=Parametre_2018!J$4,"CL",""),"CL"),""),IF(Parametre_2018!J$4&lt;&gt;"",IF(O78&lt;=Parametre_2018!J$4,"CL",""),"CL"))),"MCL"),IF(Parametre_2018!I$4&lt;&gt;"",IF(N78&lt;=Parametre_2018!I$4,IF(Parametre_2018!J$4&lt;&gt;"",IF(O78&lt;=Parametre_2018!J$4,"CL",""),"CL"),""),IF(Parametre_2018!J$4&lt;&gt;"",IF(O78&lt;=Parametre_2018!J$4,"CL",""),"CL"))),IF(Parametre_2018!D$4&lt;&gt;"",IF(O78&lt;=Parametre_2018!D$4,"MCL",IF(Parametre_2018!I$4&lt;&gt;"",IF(N78&lt;=Parametre_2018!I$4,IF(Parametre_2018!J$4&lt;&gt;"",IF(O78&lt;=Parametre_2018!J$4,"CL",""),"CL"),""),IF(Parametre_2018!J$4&lt;&gt;"",IF(O78&lt;=Parametre_2018!J$4,"CL",""),"CL"))),"MCL")),IF(Q78&lt;&gt;"",IF(AND(Q78&gt;Parametre_2018!B$4,Q78&lt;=Parametre_2018!H$4),IF(Parametre_2018!I$4&lt;&gt;"",IF(N78&lt;=Parametre_2018!I$4,IF(Parametre_2018!J$4&lt;&gt;"",IF(O78&lt;=Parametre_2018!J$4,"CL",""),"CL"),""),IF(Parametre_2018!J$4&lt;&gt;"",IF(O78&lt;=Parametre_2018!J$4,"CL",""),"CL")),""),"")),"")</f>
        <v/>
      </c>
      <c r="AC78" s="155"/>
      <c r="AD78" s="74"/>
      <c r="AE78" s="155"/>
      <c r="AF78" s="175"/>
      <c r="AG78" s="1"/>
      <c r="AI78" s="245"/>
      <c r="AJ78" s="245"/>
      <c r="AK78" s="245"/>
      <c r="AL78" s="245"/>
      <c r="AM78" s="245"/>
      <c r="AN78" s="245"/>
      <c r="AO78" s="245"/>
      <c r="AP78" s="245"/>
      <c r="AQ78" s="245"/>
      <c r="AR78" s="119"/>
      <c r="AS78" s="119"/>
      <c r="AT78" s="119"/>
      <c r="AU78" s="119"/>
      <c r="AV78" s="119"/>
      <c r="AW78" s="119"/>
      <c r="AX78" s="119"/>
      <c r="AY78" s="119"/>
    </row>
    <row r="79" spans="1:51" ht="42" customHeight="1" x14ac:dyDescent="0.25">
      <c r="A79" s="152">
        <v>39</v>
      </c>
      <c r="B79" s="152" t="s">
        <v>62</v>
      </c>
      <c r="C79" s="183" t="s">
        <v>368</v>
      </c>
      <c r="D79" s="183" t="s">
        <v>339</v>
      </c>
      <c r="E79" s="184" t="s">
        <v>50</v>
      </c>
      <c r="F79" s="185" t="s">
        <v>470</v>
      </c>
      <c r="G79" s="186">
        <v>43263</v>
      </c>
      <c r="H79" s="187" t="s">
        <v>484</v>
      </c>
      <c r="I79" s="192" t="s">
        <v>485</v>
      </c>
      <c r="J79" s="172" t="s">
        <v>486</v>
      </c>
      <c r="K79" s="164" t="s">
        <v>225</v>
      </c>
      <c r="L79" s="161" t="s">
        <v>143</v>
      </c>
      <c r="M79" s="163" t="s">
        <v>182</v>
      </c>
      <c r="N79" s="179" t="s">
        <v>62</v>
      </c>
      <c r="O79" s="198" t="s">
        <v>62</v>
      </c>
      <c r="P79" s="200">
        <v>2.25</v>
      </c>
      <c r="Q79" s="202">
        <v>2.06</v>
      </c>
      <c r="R79" s="60"/>
      <c r="S79" s="60"/>
      <c r="T79" s="58"/>
      <c r="U79" s="132" t="str">
        <f t="shared" si="2"/>
        <v>Navrh</v>
      </c>
      <c r="V79" s="55">
        <v>1</v>
      </c>
      <c r="W79" s="55"/>
      <c r="X79" s="54"/>
      <c r="Y79" s="226" t="str">
        <f>IF(Q79&lt;&gt;"",IF(Q79&lt;=1.2,IF(O79="A","CR",IF(V79&lt;&gt;"",IF(Parametre_2018!N$4=1,IF(LEFT(V79,1)="1",IF(V79&lt;&gt;"",IF(Parametre_2018!O$4&lt;&gt;"",IF(N79&lt;=Parametre_2018!O$4,IF(V79&lt;&gt;"",IF(Parametre_2018!P$4&lt;&gt;"",IF(O79&lt;=Parametre_2018!P$4,"PLD",""),"PLD"),""),""),IF(V79&lt;&gt;"",IF(Parametre_2018!P$4&lt;&gt;"",IF(O79&lt;=Parametre_2018!P$4,"PLD",""),"PLD"),"")),""),""),IF(V79&lt;&gt;"",IF(Parametre_2018!O$4&lt;&gt;"",IF(N79&lt;=Parametre_2018!O$4,IF(V79&lt;&gt;"",IF(Parametre_2018!P$4&lt;&gt;"",IF(O79&lt;=Parametre_2018!P$4,"PLD",""),"PLD"),""),""),IF(V79&lt;&gt;"",IF(Parametre_2018!P$4&lt;&gt;"",IF(O79&lt;=Parametre_2018!P$4,"PLD",""),"PLD"),"")),"")),"")),IF(V79&lt;&gt;"",IF(Parametre_2018!N$4=1,IF(LEFT(V79,1)="1",IF(V79&lt;&gt;"",IF(Parametre_2018!O$4&lt;&gt;"",IF(N79&lt;=Parametre_2018!O$4,IF(V79&lt;&gt;"",IF(Parametre_2018!P$4&lt;&gt;"",IF(O79&lt;=Parametre_2018!P$4,"PLD",""),"PLD"),""),""),IF(V79&lt;&gt;"",IF(Parametre_2018!P$4&lt;&gt;"",IF(O79&lt;=Parametre_2018!P$4,"PLD",""),"PLD"),"")),""),""),IF(V79&lt;&gt;"",IF(Parametre_2018!O$4&lt;&gt;"",IF(N79&lt;=Parametre_2018!O$4,IF(V79&lt;&gt;"",IF(Parametre_2018!P$4&lt;&gt;"",IF(O79&lt;=Parametre_2018!P$4,"PLD",""),"PLD"),""),""),IF(V79&lt;&gt;"",IF(Parametre_2018!P$4&lt;&gt;"",IF(O79&lt;=Parametre_2018!P$4,"PLD",""),"PLD"),"")),"")),"")),"")</f>
        <v>PLD</v>
      </c>
      <c r="Z79" s="58"/>
      <c r="AA79" s="227" t="s">
        <v>550</v>
      </c>
      <c r="AB79" s="228" t="str">
        <f>IF(Q79&lt;&gt;"",IF(Q79&lt;=Parametre_2018!B$4,IF(Parametre_2018!C$4&lt;&gt;"",IF(N79&lt;=Parametre_2018!C$4,IF(Parametre_2018!D$4&lt;&gt;"",IF(O79&lt;=Parametre_2018!D$4,"MCL",IF(Parametre_2018!I$4&lt;&gt;"",IF(N79&lt;=Parametre_2018!I$4,IF(Parametre_2018!J$4&lt;&gt;"",IF(O79&lt;=Parametre_2018!J$4,"CL",""),"CL"),""),IF(Parametre_2018!J$4&lt;&gt;"",IF(O79&lt;=Parametre_2018!J$4,"CL",""),"CL"))),"MCL"),IF(Parametre_2018!I$4&lt;&gt;"",IF(N79&lt;=Parametre_2018!I$4,IF(Parametre_2018!J$4&lt;&gt;"",IF(O79&lt;=Parametre_2018!J$4,"CL",""),"CL"),""),IF(Parametre_2018!J$4&lt;&gt;"",IF(O79&lt;=Parametre_2018!J$4,"CL",""),"CL"))),IF(Parametre_2018!D$4&lt;&gt;"",IF(O79&lt;=Parametre_2018!D$4,"MCL",IF(Parametre_2018!I$4&lt;&gt;"",IF(N79&lt;=Parametre_2018!I$4,IF(Parametre_2018!J$4&lt;&gt;"",IF(O79&lt;=Parametre_2018!J$4,"CL",""),"CL"),""),IF(Parametre_2018!J$4&lt;&gt;"",IF(O79&lt;=Parametre_2018!J$4,"CL",""),"CL"))),"MCL")),IF(Q79&lt;&gt;"",IF(AND(Q79&gt;Parametre_2018!B$4,Q79&lt;=Parametre_2018!H$4),IF(Parametre_2018!I$4&lt;&gt;"",IF(N79&lt;=Parametre_2018!I$4,IF(Parametre_2018!J$4&lt;&gt;"",IF(O79&lt;=Parametre_2018!J$4,"CL",""),"CL"),""),IF(Parametre_2018!J$4&lt;&gt;"",IF(O79&lt;=Parametre_2018!J$4,"CL",""),"CL")),""),"")),"")</f>
        <v/>
      </c>
      <c r="AC79" s="89"/>
      <c r="AD79" s="74"/>
      <c r="AE79" s="54"/>
      <c r="AF79" s="54"/>
      <c r="AG79" s="1"/>
      <c r="AI79" s="245"/>
      <c r="AJ79" s="245"/>
      <c r="AK79" s="245"/>
      <c r="AL79" s="245"/>
      <c r="AM79" s="245"/>
      <c r="AN79" s="245"/>
      <c r="AO79" s="245"/>
      <c r="AP79" s="245"/>
      <c r="AQ79" s="245"/>
      <c r="AR79" s="119"/>
      <c r="AS79" s="119"/>
      <c r="AT79" s="119"/>
      <c r="AU79" s="119"/>
      <c r="AV79" s="119"/>
      <c r="AW79" s="119"/>
      <c r="AX79" s="119"/>
      <c r="AY79" s="119"/>
    </row>
    <row r="80" spans="1:51" ht="48.75" customHeight="1" x14ac:dyDescent="0.25">
      <c r="A80" s="152">
        <v>100</v>
      </c>
      <c r="B80" s="152" t="s">
        <v>62</v>
      </c>
      <c r="C80" s="183" t="s">
        <v>450</v>
      </c>
      <c r="D80" s="183" t="s">
        <v>370</v>
      </c>
      <c r="E80" s="184" t="s">
        <v>50</v>
      </c>
      <c r="F80" s="185" t="s">
        <v>471</v>
      </c>
      <c r="G80" s="195">
        <v>43262</v>
      </c>
      <c r="H80" s="187" t="s">
        <v>489</v>
      </c>
      <c r="I80" s="192" t="s">
        <v>18</v>
      </c>
      <c r="J80" s="194" t="s">
        <v>490</v>
      </c>
      <c r="K80" s="164" t="s">
        <v>286</v>
      </c>
      <c r="L80" s="161" t="s">
        <v>163</v>
      </c>
      <c r="M80" s="163" t="s">
        <v>127</v>
      </c>
      <c r="N80" s="178" t="s">
        <v>27</v>
      </c>
      <c r="O80" s="198" t="s">
        <v>25</v>
      </c>
      <c r="P80" s="200">
        <v>1.84</v>
      </c>
      <c r="Q80" s="202">
        <v>2.06</v>
      </c>
      <c r="R80" s="213"/>
      <c r="S80" s="174"/>
      <c r="T80" s="174"/>
      <c r="U80" s="132" t="str">
        <f t="shared" si="2"/>
        <v/>
      </c>
      <c r="V80" s="152"/>
      <c r="W80" s="152"/>
      <c r="X80" s="155"/>
      <c r="Y80" s="226" t="str">
        <f>IF(Q80&lt;&gt;"",IF(Q80&lt;=1.2,IF(O80="A","CR",IF(V80&lt;&gt;"",IF(Parametre_2018!N$4=1,IF(LEFT(V80,1)="1",IF(V80&lt;&gt;"",IF(Parametre_2018!O$4&lt;&gt;"",IF(N80&lt;=Parametre_2018!O$4,IF(V80&lt;&gt;"",IF(Parametre_2018!P$4&lt;&gt;"",IF(O80&lt;=Parametre_2018!P$4,"PLD",""),"PLD"),""),""),IF(V80&lt;&gt;"",IF(Parametre_2018!P$4&lt;&gt;"",IF(O80&lt;=Parametre_2018!P$4,"PLD",""),"PLD"),"")),""),""),IF(V80&lt;&gt;"",IF(Parametre_2018!O$4&lt;&gt;"",IF(N80&lt;=Parametre_2018!O$4,IF(V80&lt;&gt;"",IF(Parametre_2018!P$4&lt;&gt;"",IF(O80&lt;=Parametre_2018!P$4,"PLD",""),"PLD"),""),""),IF(V80&lt;&gt;"",IF(Parametre_2018!P$4&lt;&gt;"",IF(O80&lt;=Parametre_2018!P$4,"PLD",""),"PLD"),"")),"")),"")),IF(V80&lt;&gt;"",IF(Parametre_2018!N$4=1,IF(LEFT(V80,1)="1",IF(V80&lt;&gt;"",IF(Parametre_2018!O$4&lt;&gt;"",IF(N80&lt;=Parametre_2018!O$4,IF(V80&lt;&gt;"",IF(Parametre_2018!P$4&lt;&gt;"",IF(O80&lt;=Parametre_2018!P$4,"PLD",""),"PLD"),""),""),IF(V80&lt;&gt;"",IF(Parametre_2018!P$4&lt;&gt;"",IF(O80&lt;=Parametre_2018!P$4,"PLD",""),"PLD"),"")),""),""),IF(V80&lt;&gt;"",IF(Parametre_2018!O$4&lt;&gt;"",IF(N80&lt;=Parametre_2018!O$4,IF(V80&lt;&gt;"",IF(Parametre_2018!P$4&lt;&gt;"",IF(O80&lt;=Parametre_2018!P$4,"PLD",""),"PLD"),""),""),IF(V80&lt;&gt;"",IF(Parametre_2018!P$4&lt;&gt;"",IF(O80&lt;=Parametre_2018!P$4,"PLD",""),"PLD"),"")),"")),"")),"")</f>
        <v/>
      </c>
      <c r="Z80" s="152"/>
      <c r="AA80" s="227"/>
      <c r="AB80" s="228" t="str">
        <f>IF(Q80&lt;&gt;"",IF(Q80&lt;=Parametre_2018!B$4,IF(Parametre_2018!C$4&lt;&gt;"",IF(N80&lt;=Parametre_2018!C$4,IF(Parametre_2018!D$4&lt;&gt;"",IF(O80&lt;=Parametre_2018!D$4,"MCL",IF(Parametre_2018!I$4&lt;&gt;"",IF(N80&lt;=Parametre_2018!I$4,IF(Parametre_2018!J$4&lt;&gt;"",IF(O80&lt;=Parametre_2018!J$4,"CL",""),"CL"),""),IF(Parametre_2018!J$4&lt;&gt;"",IF(O80&lt;=Parametre_2018!J$4,"CL",""),"CL"))),"MCL"),IF(Parametre_2018!I$4&lt;&gt;"",IF(N80&lt;=Parametre_2018!I$4,IF(Parametre_2018!J$4&lt;&gt;"",IF(O80&lt;=Parametre_2018!J$4,"CL",""),"CL"),""),IF(Parametre_2018!J$4&lt;&gt;"",IF(O80&lt;=Parametre_2018!J$4,"CL",""),"CL"))),IF(Parametre_2018!D$4&lt;&gt;"",IF(O80&lt;=Parametre_2018!D$4,"MCL",IF(Parametre_2018!I$4&lt;&gt;"",IF(N80&lt;=Parametre_2018!I$4,IF(Parametre_2018!J$4&lt;&gt;"",IF(O80&lt;=Parametre_2018!J$4,"CL",""),"CL"),""),IF(Parametre_2018!J$4&lt;&gt;"",IF(O80&lt;=Parametre_2018!J$4,"CL",""),"CL"))),"MCL")),IF(Q80&lt;&gt;"",IF(AND(Q80&gt;Parametre_2018!B$4,Q80&lt;=Parametre_2018!H$4),IF(Parametre_2018!I$4&lt;&gt;"",IF(N80&lt;=Parametre_2018!I$4,IF(Parametre_2018!J$4&lt;&gt;"",IF(O80&lt;=Parametre_2018!J$4,"CL",""),"CL"),""),IF(Parametre_2018!J$4&lt;&gt;"",IF(O80&lt;=Parametre_2018!J$4,"CL",""),"CL")),""),"")),"")</f>
        <v/>
      </c>
      <c r="AC80" s="155"/>
      <c r="AD80" s="74"/>
      <c r="AE80" s="155"/>
      <c r="AF80" s="175"/>
      <c r="AI80" s="245"/>
      <c r="AJ80" s="245"/>
      <c r="AK80" s="245"/>
      <c r="AL80" s="245"/>
      <c r="AM80" s="245"/>
      <c r="AN80" s="245"/>
      <c r="AO80" s="245"/>
      <c r="AP80" s="245"/>
      <c r="AQ80" s="245"/>
      <c r="AR80" s="119"/>
      <c r="AS80" s="119"/>
      <c r="AT80" s="119"/>
      <c r="AU80" s="119"/>
      <c r="AV80" s="119"/>
      <c r="AW80" s="119"/>
      <c r="AX80" s="119"/>
      <c r="AY80" s="119"/>
    </row>
    <row r="81" spans="1:51" ht="48.75" customHeight="1" x14ac:dyDescent="0.25">
      <c r="A81" s="152">
        <v>3</v>
      </c>
      <c r="B81" s="152" t="s">
        <v>62</v>
      </c>
      <c r="C81" s="183" t="s">
        <v>309</v>
      </c>
      <c r="D81" s="183" t="s">
        <v>52</v>
      </c>
      <c r="E81" s="184" t="s">
        <v>50</v>
      </c>
      <c r="F81" s="185" t="s">
        <v>470</v>
      </c>
      <c r="G81" s="186">
        <v>43263</v>
      </c>
      <c r="H81" s="188" t="s">
        <v>479</v>
      </c>
      <c r="I81" s="188" t="s">
        <v>480</v>
      </c>
      <c r="J81" s="154" t="s">
        <v>42</v>
      </c>
      <c r="K81" s="164" t="s">
        <v>189</v>
      </c>
      <c r="L81" s="161" t="s">
        <v>118</v>
      </c>
      <c r="M81" s="163" t="s">
        <v>165</v>
      </c>
      <c r="N81" s="177" t="s">
        <v>59</v>
      </c>
      <c r="O81" s="198" t="s">
        <v>59</v>
      </c>
      <c r="P81" s="200">
        <v>2.04</v>
      </c>
      <c r="Q81" s="202">
        <v>2.08</v>
      </c>
      <c r="R81" s="207"/>
      <c r="S81" s="152"/>
      <c r="T81" s="152"/>
      <c r="U81" s="132" t="str">
        <f t="shared" si="2"/>
        <v/>
      </c>
      <c r="V81" s="55"/>
      <c r="W81" s="55"/>
      <c r="X81" s="58"/>
      <c r="Y81" s="226" t="str">
        <f>IF(Q81&lt;&gt;"",IF(Q81&lt;=1.2,IF(O81="A","CR",IF(V81&lt;&gt;"",IF(Parametre_2018!N$4=1,IF(LEFT(V81,1)="1",IF(V81&lt;&gt;"",IF(Parametre_2018!O$4&lt;&gt;"",IF(N81&lt;=Parametre_2018!O$4,IF(V81&lt;&gt;"",IF(Parametre_2018!P$4&lt;&gt;"",IF(O81&lt;=Parametre_2018!P$4,"PLD",""),"PLD"),""),""),IF(V81&lt;&gt;"",IF(Parametre_2018!P$4&lt;&gt;"",IF(O81&lt;=Parametre_2018!P$4,"PLD",""),"PLD"),"")),""),""),IF(V81&lt;&gt;"",IF(Parametre_2018!O$4&lt;&gt;"",IF(N81&lt;=Parametre_2018!O$4,IF(V81&lt;&gt;"",IF(Parametre_2018!P$4&lt;&gt;"",IF(O81&lt;=Parametre_2018!P$4,"PLD",""),"PLD"),""),""),IF(V81&lt;&gt;"",IF(Parametre_2018!P$4&lt;&gt;"",IF(O81&lt;=Parametre_2018!P$4,"PLD",""),"PLD"),"")),"")),"")),IF(V81&lt;&gt;"",IF(Parametre_2018!N$4=1,IF(LEFT(V81,1)="1",IF(V81&lt;&gt;"",IF(Parametre_2018!O$4&lt;&gt;"",IF(N81&lt;=Parametre_2018!O$4,IF(V81&lt;&gt;"",IF(Parametre_2018!P$4&lt;&gt;"",IF(O81&lt;=Parametre_2018!P$4,"PLD",""),"PLD"),""),""),IF(V81&lt;&gt;"",IF(Parametre_2018!P$4&lt;&gt;"",IF(O81&lt;=Parametre_2018!P$4,"PLD",""),"PLD"),"")),""),""),IF(V81&lt;&gt;"",IF(Parametre_2018!O$4&lt;&gt;"",IF(N81&lt;=Parametre_2018!O$4,IF(V81&lt;&gt;"",IF(Parametre_2018!P$4&lt;&gt;"",IF(O81&lt;=Parametre_2018!P$4,"PLD",""),"PLD"),""),""),IF(V81&lt;&gt;"",IF(Parametre_2018!P$4&lt;&gt;"",IF(O81&lt;=Parametre_2018!P$4,"PLD",""),"PLD"),"")),"")),"")),"")</f>
        <v/>
      </c>
      <c r="Z81" s="58"/>
      <c r="AA81" s="227"/>
      <c r="AB81" s="228" t="str">
        <f>IF(Q81&lt;&gt;"",IF(Q81&lt;=Parametre_2018!B$4,IF(Parametre_2018!C$4&lt;&gt;"",IF(N81&lt;=Parametre_2018!C$4,IF(Parametre_2018!D$4&lt;&gt;"",IF(O81&lt;=Parametre_2018!D$4,"MCL",IF(Parametre_2018!I$4&lt;&gt;"",IF(N81&lt;=Parametre_2018!I$4,IF(Parametre_2018!J$4&lt;&gt;"",IF(O81&lt;=Parametre_2018!J$4,"CL",""),"CL"),""),IF(Parametre_2018!J$4&lt;&gt;"",IF(O81&lt;=Parametre_2018!J$4,"CL",""),"CL"))),"MCL"),IF(Parametre_2018!I$4&lt;&gt;"",IF(N81&lt;=Parametre_2018!I$4,IF(Parametre_2018!J$4&lt;&gt;"",IF(O81&lt;=Parametre_2018!J$4,"CL",""),"CL"),""),IF(Parametre_2018!J$4&lt;&gt;"",IF(O81&lt;=Parametre_2018!J$4,"CL",""),"CL"))),IF(Parametre_2018!D$4&lt;&gt;"",IF(O81&lt;=Parametre_2018!D$4,"MCL",IF(Parametre_2018!I$4&lt;&gt;"",IF(N81&lt;=Parametre_2018!I$4,IF(Parametre_2018!J$4&lt;&gt;"",IF(O81&lt;=Parametre_2018!J$4,"CL",""),"CL"),""),IF(Parametre_2018!J$4&lt;&gt;"",IF(O81&lt;=Parametre_2018!J$4,"CL",""),"CL"))),"MCL")),IF(Q81&lt;&gt;"",IF(AND(Q81&gt;Parametre_2018!B$4,Q81&lt;=Parametre_2018!H$4),IF(Parametre_2018!I$4&lt;&gt;"",IF(N81&lt;=Parametre_2018!I$4,IF(Parametre_2018!J$4&lt;&gt;"",IF(O81&lt;=Parametre_2018!J$4,"CL",""),"CL"),""),IF(Parametre_2018!J$4&lt;&gt;"",IF(O81&lt;=Parametre_2018!J$4,"CL",""),"CL")),""),"")),"")</f>
        <v/>
      </c>
      <c r="AC81" s="89"/>
      <c r="AD81" s="74"/>
      <c r="AE81" s="77"/>
      <c r="AF81" s="54"/>
      <c r="AI81" s="245"/>
      <c r="AJ81" s="245"/>
      <c r="AK81" s="245"/>
      <c r="AL81" s="245"/>
      <c r="AM81" s="245"/>
      <c r="AN81" s="245"/>
      <c r="AO81" s="245"/>
      <c r="AP81" s="245"/>
      <c r="AQ81" s="245"/>
      <c r="AR81" s="119"/>
      <c r="AS81" s="119"/>
      <c r="AT81" s="119"/>
      <c r="AU81" s="119"/>
      <c r="AV81" s="119"/>
      <c r="AW81" s="119"/>
      <c r="AX81" s="119"/>
      <c r="AY81" s="119"/>
    </row>
    <row r="82" spans="1:51" ht="48.75" customHeight="1" x14ac:dyDescent="0.25">
      <c r="A82" s="152">
        <v>56</v>
      </c>
      <c r="B82" s="152" t="s">
        <v>62</v>
      </c>
      <c r="C82" s="183" t="s">
        <v>391</v>
      </c>
      <c r="D82" s="183" t="s">
        <v>392</v>
      </c>
      <c r="E82" s="184" t="s">
        <v>50</v>
      </c>
      <c r="F82" s="185" t="s">
        <v>471</v>
      </c>
      <c r="G82" s="195">
        <v>43262</v>
      </c>
      <c r="H82" s="187" t="s">
        <v>491</v>
      </c>
      <c r="I82" s="192" t="s">
        <v>44</v>
      </c>
      <c r="J82" s="216" t="s">
        <v>492</v>
      </c>
      <c r="K82" s="164" t="s">
        <v>242</v>
      </c>
      <c r="L82" s="161" t="s">
        <v>120</v>
      </c>
      <c r="M82" s="163" t="s">
        <v>172</v>
      </c>
      <c r="N82" s="181" t="s">
        <v>59</v>
      </c>
      <c r="O82" s="198" t="s">
        <v>59</v>
      </c>
      <c r="P82" s="200">
        <v>2.16</v>
      </c>
      <c r="Q82" s="202">
        <v>2.13</v>
      </c>
      <c r="R82" s="209"/>
      <c r="S82" s="220" t="s">
        <v>62</v>
      </c>
      <c r="T82" s="220"/>
      <c r="U82" s="132" t="str">
        <f t="shared" si="2"/>
        <v/>
      </c>
      <c r="V82" s="220"/>
      <c r="W82" s="220"/>
      <c r="X82" s="220"/>
      <c r="Y82" s="226" t="str">
        <f>IF(Q82&lt;&gt;"",IF(Q82&lt;=1.2,IF(O82="A","CR",IF(V82&lt;&gt;"",IF(Parametre_2018!N$4=1,IF(LEFT(V82,1)="1",IF(V82&lt;&gt;"",IF(Parametre_2018!O$4&lt;&gt;"",IF(N82&lt;=Parametre_2018!O$4,IF(V82&lt;&gt;"",IF(Parametre_2018!P$4&lt;&gt;"",IF(O82&lt;=Parametre_2018!P$4,"PLD",""),"PLD"),""),""),IF(V82&lt;&gt;"",IF(Parametre_2018!P$4&lt;&gt;"",IF(O82&lt;=Parametre_2018!P$4,"PLD",""),"PLD"),"")),""),""),IF(V82&lt;&gt;"",IF(Parametre_2018!O$4&lt;&gt;"",IF(N82&lt;=Parametre_2018!O$4,IF(V82&lt;&gt;"",IF(Parametre_2018!P$4&lt;&gt;"",IF(O82&lt;=Parametre_2018!P$4,"PLD",""),"PLD"),""),""),IF(V82&lt;&gt;"",IF(Parametre_2018!P$4&lt;&gt;"",IF(O82&lt;=Parametre_2018!P$4,"PLD",""),"PLD"),"")),"")),"")),IF(V82&lt;&gt;"",IF(Parametre_2018!N$4=1,IF(LEFT(V82,1)="1",IF(V82&lt;&gt;"",IF(Parametre_2018!O$4&lt;&gt;"",IF(N82&lt;=Parametre_2018!O$4,IF(V82&lt;&gt;"",IF(Parametre_2018!P$4&lt;&gt;"",IF(O82&lt;=Parametre_2018!P$4,"PLD",""),"PLD"),""),""),IF(V82&lt;&gt;"",IF(Parametre_2018!P$4&lt;&gt;"",IF(O82&lt;=Parametre_2018!P$4,"PLD",""),"PLD"),"")),""),""),IF(V82&lt;&gt;"",IF(Parametre_2018!O$4&lt;&gt;"",IF(N82&lt;=Parametre_2018!O$4,IF(V82&lt;&gt;"",IF(Parametre_2018!P$4&lt;&gt;"",IF(O82&lt;=Parametre_2018!P$4,"PLD",""),"PLD"),""),""),IF(V82&lt;&gt;"",IF(Parametre_2018!P$4&lt;&gt;"",IF(O82&lt;=Parametre_2018!P$4,"PLD",""),"PLD"),"")),"")),"")),"")</f>
        <v/>
      </c>
      <c r="Z82" s="220"/>
      <c r="AA82" s="227"/>
      <c r="AB82" s="228" t="str">
        <f>IF(Q82&lt;&gt;"",IF(Q82&lt;=Parametre_2018!B$4,IF(Parametre_2018!C$4&lt;&gt;"",IF(N82&lt;=Parametre_2018!C$4,IF(Parametre_2018!D$4&lt;&gt;"",IF(O82&lt;=Parametre_2018!D$4,"MCL",IF(Parametre_2018!I$4&lt;&gt;"",IF(N82&lt;=Parametre_2018!I$4,IF(Parametre_2018!J$4&lt;&gt;"",IF(O82&lt;=Parametre_2018!J$4,"CL",""),"CL"),""),IF(Parametre_2018!J$4&lt;&gt;"",IF(O82&lt;=Parametre_2018!J$4,"CL",""),"CL"))),"MCL"),IF(Parametre_2018!I$4&lt;&gt;"",IF(N82&lt;=Parametre_2018!I$4,IF(Parametre_2018!J$4&lt;&gt;"",IF(O82&lt;=Parametre_2018!J$4,"CL",""),"CL"),""),IF(Parametre_2018!J$4&lt;&gt;"",IF(O82&lt;=Parametre_2018!J$4,"CL",""),"CL"))),IF(Parametre_2018!D$4&lt;&gt;"",IF(O82&lt;=Parametre_2018!D$4,"MCL",IF(Parametre_2018!I$4&lt;&gt;"",IF(N82&lt;=Parametre_2018!I$4,IF(Parametre_2018!J$4&lt;&gt;"",IF(O82&lt;=Parametre_2018!J$4,"CL",""),"CL"),""),IF(Parametre_2018!J$4&lt;&gt;"",IF(O82&lt;=Parametre_2018!J$4,"CL",""),"CL"))),"MCL")),IF(Q82&lt;&gt;"",IF(AND(Q82&gt;Parametre_2018!B$4,Q82&lt;=Parametre_2018!H$4),IF(Parametre_2018!I$4&lt;&gt;"",IF(N82&lt;=Parametre_2018!I$4,IF(Parametre_2018!J$4&lt;&gt;"",IF(O82&lt;=Parametre_2018!J$4,"CL",""),"CL"),""),IF(Parametre_2018!J$4&lt;&gt;"",IF(O82&lt;=Parametre_2018!J$4,"CL",""),"CL")),""),"")),"")</f>
        <v/>
      </c>
      <c r="AC82" s="169"/>
      <c r="AD82" s="74"/>
      <c r="AE82" s="169"/>
      <c r="AF82" s="169"/>
      <c r="AI82" s="244"/>
      <c r="AJ82" s="244"/>
      <c r="AK82" s="244"/>
      <c r="AL82" s="244"/>
      <c r="AM82" s="244"/>
      <c r="AN82" s="244"/>
      <c r="AO82" s="244"/>
      <c r="AP82" s="244"/>
      <c r="AQ82" s="244"/>
      <c r="AR82" s="116"/>
      <c r="AS82" s="116"/>
      <c r="AT82" s="116"/>
      <c r="AU82" s="116"/>
      <c r="AV82" s="116"/>
      <c r="AW82" s="116"/>
      <c r="AX82" s="116"/>
      <c r="AY82" s="116"/>
    </row>
    <row r="83" spans="1:51" ht="48.75" customHeight="1" x14ac:dyDescent="0.25">
      <c r="A83" s="152">
        <v>78</v>
      </c>
      <c r="B83" s="152" t="s">
        <v>62</v>
      </c>
      <c r="C83" s="183" t="s">
        <v>419</v>
      </c>
      <c r="D83" s="183" t="s">
        <v>335</v>
      </c>
      <c r="E83" s="184" t="s">
        <v>50</v>
      </c>
      <c r="F83" s="185" t="s">
        <v>470</v>
      </c>
      <c r="G83" s="186">
        <v>43263</v>
      </c>
      <c r="H83" s="187" t="s">
        <v>484</v>
      </c>
      <c r="I83" s="192" t="s">
        <v>485</v>
      </c>
      <c r="J83" s="172" t="s">
        <v>486</v>
      </c>
      <c r="K83" s="164" t="s">
        <v>264</v>
      </c>
      <c r="L83" s="161" t="s">
        <v>155</v>
      </c>
      <c r="M83" s="163" t="s">
        <v>157</v>
      </c>
      <c r="N83" s="178" t="s">
        <v>60</v>
      </c>
      <c r="O83" s="198" t="s">
        <v>27</v>
      </c>
      <c r="P83" s="200">
        <v>2.0299999999999998</v>
      </c>
      <c r="Q83" s="202">
        <v>2.14</v>
      </c>
      <c r="R83" s="213"/>
      <c r="S83" s="222" t="s">
        <v>62</v>
      </c>
      <c r="T83" s="174"/>
      <c r="U83" s="132" t="str">
        <f t="shared" si="2"/>
        <v/>
      </c>
      <c r="V83" s="152"/>
      <c r="W83" s="152"/>
      <c r="X83" s="155"/>
      <c r="Y83" s="226" t="str">
        <f>IF(Q83&lt;&gt;"",IF(Q83&lt;=1.2,IF(O83="A","CR",IF(V83&lt;&gt;"",IF(Parametre_2018!N$4=1,IF(LEFT(V83,1)="1",IF(V83&lt;&gt;"",IF(Parametre_2018!O$4&lt;&gt;"",IF(N83&lt;=Parametre_2018!O$4,IF(V83&lt;&gt;"",IF(Parametre_2018!P$4&lt;&gt;"",IF(O83&lt;=Parametre_2018!P$4,"PLD",""),"PLD"),""),""),IF(V83&lt;&gt;"",IF(Parametre_2018!P$4&lt;&gt;"",IF(O83&lt;=Parametre_2018!P$4,"PLD",""),"PLD"),"")),""),""),IF(V83&lt;&gt;"",IF(Parametre_2018!O$4&lt;&gt;"",IF(N83&lt;=Parametre_2018!O$4,IF(V83&lt;&gt;"",IF(Parametre_2018!P$4&lt;&gt;"",IF(O83&lt;=Parametre_2018!P$4,"PLD",""),"PLD"),""),""),IF(V83&lt;&gt;"",IF(Parametre_2018!P$4&lt;&gt;"",IF(O83&lt;=Parametre_2018!P$4,"PLD",""),"PLD"),"")),"")),"")),IF(V83&lt;&gt;"",IF(Parametre_2018!N$4=1,IF(LEFT(V83,1)="1",IF(V83&lt;&gt;"",IF(Parametre_2018!O$4&lt;&gt;"",IF(N83&lt;=Parametre_2018!O$4,IF(V83&lt;&gt;"",IF(Parametre_2018!P$4&lt;&gt;"",IF(O83&lt;=Parametre_2018!P$4,"PLD",""),"PLD"),""),""),IF(V83&lt;&gt;"",IF(Parametre_2018!P$4&lt;&gt;"",IF(O83&lt;=Parametre_2018!P$4,"PLD",""),"PLD"),"")),""),""),IF(V83&lt;&gt;"",IF(Parametre_2018!O$4&lt;&gt;"",IF(N83&lt;=Parametre_2018!O$4,IF(V83&lt;&gt;"",IF(Parametre_2018!P$4&lt;&gt;"",IF(O83&lt;=Parametre_2018!P$4,"PLD",""),"PLD"),""),""),IF(V83&lt;&gt;"",IF(Parametre_2018!P$4&lt;&gt;"",IF(O83&lt;=Parametre_2018!P$4,"PLD",""),"PLD"),"")),"")),"")),"")</f>
        <v/>
      </c>
      <c r="Z83" s="152"/>
      <c r="AA83" s="227"/>
      <c r="AB83" s="228" t="str">
        <f>IF(Q83&lt;&gt;"",IF(Q83&lt;=Parametre_2018!B$4,IF(Parametre_2018!C$4&lt;&gt;"",IF(N83&lt;=Parametre_2018!C$4,IF(Parametre_2018!D$4&lt;&gt;"",IF(O83&lt;=Parametre_2018!D$4,"MCL",IF(Parametre_2018!I$4&lt;&gt;"",IF(N83&lt;=Parametre_2018!I$4,IF(Parametre_2018!J$4&lt;&gt;"",IF(O83&lt;=Parametre_2018!J$4,"CL",""),"CL"),""),IF(Parametre_2018!J$4&lt;&gt;"",IF(O83&lt;=Parametre_2018!J$4,"CL",""),"CL"))),"MCL"),IF(Parametre_2018!I$4&lt;&gt;"",IF(N83&lt;=Parametre_2018!I$4,IF(Parametre_2018!J$4&lt;&gt;"",IF(O83&lt;=Parametre_2018!J$4,"CL",""),"CL"),""),IF(Parametre_2018!J$4&lt;&gt;"",IF(O83&lt;=Parametre_2018!J$4,"CL",""),"CL"))),IF(Parametre_2018!D$4&lt;&gt;"",IF(O83&lt;=Parametre_2018!D$4,"MCL",IF(Parametre_2018!I$4&lt;&gt;"",IF(N83&lt;=Parametre_2018!I$4,IF(Parametre_2018!J$4&lt;&gt;"",IF(O83&lt;=Parametre_2018!J$4,"CL",""),"CL"),""),IF(Parametre_2018!J$4&lt;&gt;"",IF(O83&lt;=Parametre_2018!J$4,"CL",""),"CL"))),"MCL")),IF(Q83&lt;&gt;"",IF(AND(Q83&gt;Parametre_2018!B$4,Q83&lt;=Parametre_2018!H$4),IF(Parametre_2018!I$4&lt;&gt;"",IF(N83&lt;=Parametre_2018!I$4,IF(Parametre_2018!J$4&lt;&gt;"",IF(O83&lt;=Parametre_2018!J$4,"CL",""),"CL"),""),IF(Parametre_2018!J$4&lt;&gt;"",IF(O83&lt;=Parametre_2018!J$4,"CL",""),"CL")),""),"")),"")</f>
        <v/>
      </c>
      <c r="AC83" s="155"/>
      <c r="AD83" s="74"/>
      <c r="AE83" s="155"/>
      <c r="AF83" s="175"/>
    </row>
    <row r="84" spans="1:51" ht="48.75" customHeight="1" x14ac:dyDescent="0.25">
      <c r="A84" s="152">
        <v>82</v>
      </c>
      <c r="B84" s="152" t="s">
        <v>62</v>
      </c>
      <c r="C84" s="183" t="s">
        <v>425</v>
      </c>
      <c r="D84" s="183" t="s">
        <v>426</v>
      </c>
      <c r="E84" s="184" t="s">
        <v>50</v>
      </c>
      <c r="F84" s="185" t="s">
        <v>470</v>
      </c>
      <c r="G84" s="195">
        <v>43262</v>
      </c>
      <c r="H84" s="187" t="s">
        <v>495</v>
      </c>
      <c r="I84" s="192" t="s">
        <v>496</v>
      </c>
      <c r="J84" s="194" t="s">
        <v>497</v>
      </c>
      <c r="K84" s="164" t="s">
        <v>268</v>
      </c>
      <c r="L84" s="161" t="s">
        <v>160</v>
      </c>
      <c r="M84" s="163" t="s">
        <v>185</v>
      </c>
      <c r="N84" s="178" t="s">
        <v>62</v>
      </c>
      <c r="O84" s="198" t="s">
        <v>60</v>
      </c>
      <c r="P84" s="200">
        <v>2.27</v>
      </c>
      <c r="Q84" s="202">
        <v>2.15</v>
      </c>
      <c r="R84" s="213"/>
      <c r="S84" s="174"/>
      <c r="T84" s="174"/>
      <c r="U84" s="132" t="str">
        <f t="shared" si="2"/>
        <v/>
      </c>
      <c r="V84" s="152"/>
      <c r="W84" s="152"/>
      <c r="X84" s="152"/>
      <c r="Y84" s="226" t="str">
        <f>IF(Q84&lt;&gt;"",IF(Q84&lt;=1.2,IF(O84="A","CR",IF(V84&lt;&gt;"",IF(Parametre_2018!N$4=1,IF(LEFT(V84,1)="1",IF(V84&lt;&gt;"",IF(Parametre_2018!O$4&lt;&gt;"",IF(N84&lt;=Parametre_2018!O$4,IF(V84&lt;&gt;"",IF(Parametre_2018!P$4&lt;&gt;"",IF(O84&lt;=Parametre_2018!P$4,"PLD",""),"PLD"),""),""),IF(V84&lt;&gt;"",IF(Parametre_2018!P$4&lt;&gt;"",IF(O84&lt;=Parametre_2018!P$4,"PLD",""),"PLD"),"")),""),""),IF(V84&lt;&gt;"",IF(Parametre_2018!O$4&lt;&gt;"",IF(N84&lt;=Parametre_2018!O$4,IF(V84&lt;&gt;"",IF(Parametre_2018!P$4&lt;&gt;"",IF(O84&lt;=Parametre_2018!P$4,"PLD",""),"PLD"),""),""),IF(V84&lt;&gt;"",IF(Parametre_2018!P$4&lt;&gt;"",IF(O84&lt;=Parametre_2018!P$4,"PLD",""),"PLD"),"")),"")),"")),IF(V84&lt;&gt;"",IF(Parametre_2018!N$4=1,IF(LEFT(V84,1)="1",IF(V84&lt;&gt;"",IF(Parametre_2018!O$4&lt;&gt;"",IF(N84&lt;=Parametre_2018!O$4,IF(V84&lt;&gt;"",IF(Parametre_2018!P$4&lt;&gt;"",IF(O84&lt;=Parametre_2018!P$4,"PLD",""),"PLD"),""),""),IF(V84&lt;&gt;"",IF(Parametre_2018!P$4&lt;&gt;"",IF(O84&lt;=Parametre_2018!P$4,"PLD",""),"PLD"),"")),""),""),IF(V84&lt;&gt;"",IF(Parametre_2018!O$4&lt;&gt;"",IF(N84&lt;=Parametre_2018!O$4,IF(V84&lt;&gt;"",IF(Parametre_2018!P$4&lt;&gt;"",IF(O84&lt;=Parametre_2018!P$4,"PLD",""),"PLD"),""),""),IF(V84&lt;&gt;"",IF(Parametre_2018!P$4&lt;&gt;"",IF(O84&lt;=Parametre_2018!P$4,"PLD",""),"PLD"),"")),"")),"")),"")</f>
        <v/>
      </c>
      <c r="Z84" s="152"/>
      <c r="AA84" s="227"/>
      <c r="AB84" s="228" t="str">
        <f>IF(Q84&lt;&gt;"",IF(Q84&lt;=Parametre_2018!B$4,IF(Parametre_2018!C$4&lt;&gt;"",IF(N84&lt;=Parametre_2018!C$4,IF(Parametre_2018!D$4&lt;&gt;"",IF(O84&lt;=Parametre_2018!D$4,"MCL",IF(Parametre_2018!I$4&lt;&gt;"",IF(N84&lt;=Parametre_2018!I$4,IF(Parametre_2018!J$4&lt;&gt;"",IF(O84&lt;=Parametre_2018!J$4,"CL",""),"CL"),""),IF(Parametre_2018!J$4&lt;&gt;"",IF(O84&lt;=Parametre_2018!J$4,"CL",""),"CL"))),"MCL"),IF(Parametre_2018!I$4&lt;&gt;"",IF(N84&lt;=Parametre_2018!I$4,IF(Parametre_2018!J$4&lt;&gt;"",IF(O84&lt;=Parametre_2018!J$4,"CL",""),"CL"),""),IF(Parametre_2018!J$4&lt;&gt;"",IF(O84&lt;=Parametre_2018!J$4,"CL",""),"CL"))),IF(Parametre_2018!D$4&lt;&gt;"",IF(O84&lt;=Parametre_2018!D$4,"MCL",IF(Parametre_2018!I$4&lt;&gt;"",IF(N84&lt;=Parametre_2018!I$4,IF(Parametre_2018!J$4&lt;&gt;"",IF(O84&lt;=Parametre_2018!J$4,"CL",""),"CL"),""),IF(Parametre_2018!J$4&lt;&gt;"",IF(O84&lt;=Parametre_2018!J$4,"CL",""),"CL"))),"MCL")),IF(Q84&lt;&gt;"",IF(AND(Q84&gt;Parametre_2018!B$4,Q84&lt;=Parametre_2018!H$4),IF(Parametre_2018!I$4&lt;&gt;"",IF(N84&lt;=Parametre_2018!I$4,IF(Parametre_2018!J$4&lt;&gt;"",IF(O84&lt;=Parametre_2018!J$4,"CL",""),"CL"),""),IF(Parametre_2018!J$4&lt;&gt;"",IF(O84&lt;=Parametre_2018!J$4,"CL",""),"CL")),""),"")),"")</f>
        <v/>
      </c>
      <c r="AC84" s="155"/>
      <c r="AD84" s="74"/>
      <c r="AE84" s="155"/>
      <c r="AF84" s="175"/>
    </row>
    <row r="85" spans="1:51" ht="48.75" customHeight="1" x14ac:dyDescent="0.25">
      <c r="A85" s="152">
        <v>118</v>
      </c>
      <c r="B85" s="152" t="s">
        <v>62</v>
      </c>
      <c r="C85" s="183" t="s">
        <v>469</v>
      </c>
      <c r="D85" s="183" t="s">
        <v>456</v>
      </c>
      <c r="E85" s="184" t="s">
        <v>50</v>
      </c>
      <c r="F85" s="185" t="s">
        <v>470</v>
      </c>
      <c r="G85" s="195">
        <v>43262</v>
      </c>
      <c r="H85" s="187" t="s">
        <v>489</v>
      </c>
      <c r="I85" s="192" t="s">
        <v>18</v>
      </c>
      <c r="J85" s="194" t="s">
        <v>490</v>
      </c>
      <c r="K85" s="164" t="s">
        <v>304</v>
      </c>
      <c r="L85" s="161" t="s">
        <v>139</v>
      </c>
      <c r="M85" s="163" t="s">
        <v>166</v>
      </c>
      <c r="N85" s="178" t="s">
        <v>25</v>
      </c>
      <c r="O85" s="198" t="s">
        <v>25</v>
      </c>
      <c r="P85" s="200">
        <v>2</v>
      </c>
      <c r="Q85" s="202">
        <v>2.15</v>
      </c>
      <c r="R85" s="213"/>
      <c r="S85" s="174"/>
      <c r="T85" s="174"/>
      <c r="U85" s="132" t="str">
        <f t="shared" si="2"/>
        <v/>
      </c>
      <c r="V85" s="152"/>
      <c r="W85" s="152"/>
      <c r="X85" s="155"/>
      <c r="Y85" s="226" t="str">
        <f>IF(Q85&lt;&gt;"",IF(Q85&lt;=1.2,IF(O85="A","CR",IF(V85&lt;&gt;"",IF(Parametre_2018!N$4=1,IF(LEFT(V85,1)="1",IF(V85&lt;&gt;"",IF(Parametre_2018!O$4&lt;&gt;"",IF(N85&lt;=Parametre_2018!O$4,IF(V85&lt;&gt;"",IF(Parametre_2018!P$4&lt;&gt;"",IF(O85&lt;=Parametre_2018!P$4,"PLD",""),"PLD"),""),""),IF(V85&lt;&gt;"",IF(Parametre_2018!P$4&lt;&gt;"",IF(O85&lt;=Parametre_2018!P$4,"PLD",""),"PLD"),"")),""),""),IF(V85&lt;&gt;"",IF(Parametre_2018!O$4&lt;&gt;"",IF(N85&lt;=Parametre_2018!O$4,IF(V85&lt;&gt;"",IF(Parametre_2018!P$4&lt;&gt;"",IF(O85&lt;=Parametre_2018!P$4,"PLD",""),"PLD"),""),""),IF(V85&lt;&gt;"",IF(Parametre_2018!P$4&lt;&gt;"",IF(O85&lt;=Parametre_2018!P$4,"PLD",""),"PLD"),"")),"")),"")),IF(V85&lt;&gt;"",IF(Parametre_2018!N$4=1,IF(LEFT(V85,1)="1",IF(V85&lt;&gt;"",IF(Parametre_2018!O$4&lt;&gt;"",IF(N85&lt;=Parametre_2018!O$4,IF(V85&lt;&gt;"",IF(Parametre_2018!P$4&lt;&gt;"",IF(O85&lt;=Parametre_2018!P$4,"PLD",""),"PLD"),""),""),IF(V85&lt;&gt;"",IF(Parametre_2018!P$4&lt;&gt;"",IF(O85&lt;=Parametre_2018!P$4,"PLD",""),"PLD"),"")),""),""),IF(V85&lt;&gt;"",IF(Parametre_2018!O$4&lt;&gt;"",IF(N85&lt;=Parametre_2018!O$4,IF(V85&lt;&gt;"",IF(Parametre_2018!P$4&lt;&gt;"",IF(O85&lt;=Parametre_2018!P$4,"PLD",""),"PLD"),""),""),IF(V85&lt;&gt;"",IF(Parametre_2018!P$4&lt;&gt;"",IF(O85&lt;=Parametre_2018!P$4,"PLD",""),"PLD"),"")),"")),"")),"")</f>
        <v/>
      </c>
      <c r="Z85" s="152"/>
      <c r="AA85" s="227"/>
      <c r="AB85" s="228" t="str">
        <f>IF(Q85&lt;&gt;"",IF(Q85&lt;=Parametre_2018!B$4,IF(Parametre_2018!C$4&lt;&gt;"",IF(N85&lt;=Parametre_2018!C$4,IF(Parametre_2018!D$4&lt;&gt;"",IF(O85&lt;=Parametre_2018!D$4,"MCL",IF(Parametre_2018!I$4&lt;&gt;"",IF(N85&lt;=Parametre_2018!I$4,IF(Parametre_2018!J$4&lt;&gt;"",IF(O85&lt;=Parametre_2018!J$4,"CL",""),"CL"),""),IF(Parametre_2018!J$4&lt;&gt;"",IF(O85&lt;=Parametre_2018!J$4,"CL",""),"CL"))),"MCL"),IF(Parametre_2018!I$4&lt;&gt;"",IF(N85&lt;=Parametre_2018!I$4,IF(Parametre_2018!J$4&lt;&gt;"",IF(O85&lt;=Parametre_2018!J$4,"CL",""),"CL"),""),IF(Parametre_2018!J$4&lt;&gt;"",IF(O85&lt;=Parametre_2018!J$4,"CL",""),"CL"))),IF(Parametre_2018!D$4&lt;&gt;"",IF(O85&lt;=Parametre_2018!D$4,"MCL",IF(Parametre_2018!I$4&lt;&gt;"",IF(N85&lt;=Parametre_2018!I$4,IF(Parametre_2018!J$4&lt;&gt;"",IF(O85&lt;=Parametre_2018!J$4,"CL",""),"CL"),""),IF(Parametre_2018!J$4&lt;&gt;"",IF(O85&lt;=Parametre_2018!J$4,"CL",""),"CL"))),"MCL")),IF(Q85&lt;&gt;"",IF(AND(Q85&gt;Parametre_2018!B$4,Q85&lt;=Parametre_2018!H$4),IF(Parametre_2018!I$4&lt;&gt;"",IF(N85&lt;=Parametre_2018!I$4,IF(Parametre_2018!J$4&lt;&gt;"",IF(O85&lt;=Parametre_2018!J$4,"CL",""),"CL"),""),IF(Parametre_2018!J$4&lt;&gt;"",IF(O85&lt;=Parametre_2018!J$4,"CL",""),"CL")),""),"")),"")</f>
        <v/>
      </c>
      <c r="AC85" s="155"/>
      <c r="AD85" s="74"/>
      <c r="AE85" s="155"/>
      <c r="AF85" s="175"/>
    </row>
    <row r="86" spans="1:51" ht="48.75" customHeight="1" x14ac:dyDescent="0.25">
      <c r="A86" s="152">
        <v>96</v>
      </c>
      <c r="B86" s="152" t="s">
        <v>62</v>
      </c>
      <c r="C86" s="183" t="s">
        <v>445</v>
      </c>
      <c r="D86" s="183" t="s">
        <v>351</v>
      </c>
      <c r="E86" s="184" t="s">
        <v>50</v>
      </c>
      <c r="F86" s="185" t="s">
        <v>471</v>
      </c>
      <c r="G86" s="186">
        <v>43263</v>
      </c>
      <c r="H86" s="188" t="s">
        <v>479</v>
      </c>
      <c r="I86" s="234" t="s">
        <v>480</v>
      </c>
      <c r="J86" s="219" t="s">
        <v>42</v>
      </c>
      <c r="K86" s="164" t="s">
        <v>282</v>
      </c>
      <c r="L86" s="161" t="s">
        <v>165</v>
      </c>
      <c r="M86" s="163" t="s">
        <v>127</v>
      </c>
      <c r="N86" s="178" t="s">
        <v>60</v>
      </c>
      <c r="O86" s="198" t="s">
        <v>60</v>
      </c>
      <c r="P86" s="200">
        <v>2.31</v>
      </c>
      <c r="Q86" s="202">
        <v>2.17</v>
      </c>
      <c r="R86" s="213"/>
      <c r="S86" s="174"/>
      <c r="T86" s="174"/>
      <c r="U86" s="132" t="str">
        <f t="shared" si="2"/>
        <v/>
      </c>
      <c r="V86" s="152"/>
      <c r="W86" s="152"/>
      <c r="X86" s="155"/>
      <c r="Y86" s="226" t="str">
        <f>IF(Q86&lt;&gt;"",IF(Q86&lt;=1.2,IF(O86="A","CR",IF(V86&lt;&gt;"",IF(Parametre_2018!N$4=1,IF(LEFT(V86,1)="1",IF(V86&lt;&gt;"",IF(Parametre_2018!O$4&lt;&gt;"",IF(N86&lt;=Parametre_2018!O$4,IF(V86&lt;&gt;"",IF(Parametre_2018!P$4&lt;&gt;"",IF(O86&lt;=Parametre_2018!P$4,"PLD",""),"PLD"),""),""),IF(V86&lt;&gt;"",IF(Parametre_2018!P$4&lt;&gt;"",IF(O86&lt;=Parametre_2018!P$4,"PLD",""),"PLD"),"")),""),""),IF(V86&lt;&gt;"",IF(Parametre_2018!O$4&lt;&gt;"",IF(N86&lt;=Parametre_2018!O$4,IF(V86&lt;&gt;"",IF(Parametre_2018!P$4&lt;&gt;"",IF(O86&lt;=Parametre_2018!P$4,"PLD",""),"PLD"),""),""),IF(V86&lt;&gt;"",IF(Parametre_2018!P$4&lt;&gt;"",IF(O86&lt;=Parametre_2018!P$4,"PLD",""),"PLD"),"")),"")),"")),IF(V86&lt;&gt;"",IF(Parametre_2018!N$4=1,IF(LEFT(V86,1)="1",IF(V86&lt;&gt;"",IF(Parametre_2018!O$4&lt;&gt;"",IF(N86&lt;=Parametre_2018!O$4,IF(V86&lt;&gt;"",IF(Parametre_2018!P$4&lt;&gt;"",IF(O86&lt;=Parametre_2018!P$4,"PLD",""),"PLD"),""),""),IF(V86&lt;&gt;"",IF(Parametre_2018!P$4&lt;&gt;"",IF(O86&lt;=Parametre_2018!P$4,"PLD",""),"PLD"),"")),""),""),IF(V86&lt;&gt;"",IF(Parametre_2018!O$4&lt;&gt;"",IF(N86&lt;=Parametre_2018!O$4,IF(V86&lt;&gt;"",IF(Parametre_2018!P$4&lt;&gt;"",IF(O86&lt;=Parametre_2018!P$4,"PLD",""),"PLD"),""),""),IF(V86&lt;&gt;"",IF(Parametre_2018!P$4&lt;&gt;"",IF(O86&lt;=Parametre_2018!P$4,"PLD",""),"PLD"),"")),"")),"")),"")</f>
        <v/>
      </c>
      <c r="Z86" s="152"/>
      <c r="AA86" s="227"/>
      <c r="AB86" s="228" t="str">
        <f>IF(Q86&lt;&gt;"",IF(Q86&lt;=Parametre_2018!B$4,IF(Parametre_2018!C$4&lt;&gt;"",IF(N86&lt;=Parametre_2018!C$4,IF(Parametre_2018!D$4&lt;&gt;"",IF(O86&lt;=Parametre_2018!D$4,"MCL",IF(Parametre_2018!I$4&lt;&gt;"",IF(N86&lt;=Parametre_2018!I$4,IF(Parametre_2018!J$4&lt;&gt;"",IF(O86&lt;=Parametre_2018!J$4,"CL",""),"CL"),""),IF(Parametre_2018!J$4&lt;&gt;"",IF(O86&lt;=Parametre_2018!J$4,"CL",""),"CL"))),"MCL"),IF(Parametre_2018!I$4&lt;&gt;"",IF(N86&lt;=Parametre_2018!I$4,IF(Parametre_2018!J$4&lt;&gt;"",IF(O86&lt;=Parametre_2018!J$4,"CL",""),"CL"),""),IF(Parametre_2018!J$4&lt;&gt;"",IF(O86&lt;=Parametre_2018!J$4,"CL",""),"CL"))),IF(Parametre_2018!D$4&lt;&gt;"",IF(O86&lt;=Parametre_2018!D$4,"MCL",IF(Parametre_2018!I$4&lt;&gt;"",IF(N86&lt;=Parametre_2018!I$4,IF(Parametre_2018!J$4&lt;&gt;"",IF(O86&lt;=Parametre_2018!J$4,"CL",""),"CL"),""),IF(Parametre_2018!J$4&lt;&gt;"",IF(O86&lt;=Parametre_2018!J$4,"CL",""),"CL"))),"MCL")),IF(Q86&lt;&gt;"",IF(AND(Q86&gt;Parametre_2018!B$4,Q86&lt;=Parametre_2018!H$4),IF(Parametre_2018!I$4&lt;&gt;"",IF(N86&lt;=Parametre_2018!I$4,IF(Parametre_2018!J$4&lt;&gt;"",IF(O86&lt;=Parametre_2018!J$4,"CL",""),"CL"),""),IF(Parametre_2018!J$4&lt;&gt;"",IF(O86&lt;=Parametre_2018!J$4,"CL",""),"CL")),""),"")),"")</f>
        <v/>
      </c>
      <c r="AC86" s="155"/>
      <c r="AD86" s="74"/>
      <c r="AE86" s="155"/>
      <c r="AF86" s="175"/>
    </row>
    <row r="87" spans="1:51" ht="48.75" customHeight="1" x14ac:dyDescent="0.25">
      <c r="A87" s="152">
        <v>19</v>
      </c>
      <c r="B87" s="152" t="s">
        <v>62</v>
      </c>
      <c r="C87" s="183" t="s">
        <v>336</v>
      </c>
      <c r="D87" s="183" t="s">
        <v>335</v>
      </c>
      <c r="E87" s="184" t="s">
        <v>50</v>
      </c>
      <c r="F87" s="185" t="s">
        <v>471</v>
      </c>
      <c r="G87" s="195">
        <v>43262</v>
      </c>
      <c r="H87" s="188" t="s">
        <v>493</v>
      </c>
      <c r="I87" s="188" t="s">
        <v>478</v>
      </c>
      <c r="J87" s="154" t="s">
        <v>494</v>
      </c>
      <c r="K87" s="164" t="s">
        <v>205</v>
      </c>
      <c r="L87" s="161" t="s">
        <v>121</v>
      </c>
      <c r="M87" s="163" t="s">
        <v>177</v>
      </c>
      <c r="N87" s="178" t="s">
        <v>59</v>
      </c>
      <c r="O87" s="198" t="s">
        <v>59</v>
      </c>
      <c r="P87" s="200">
        <v>2.2200000000000002</v>
      </c>
      <c r="Q87" s="202">
        <v>2.1800000000000002</v>
      </c>
      <c r="R87" s="152"/>
      <c r="S87" s="152"/>
      <c r="T87" s="152"/>
      <c r="U87" s="132" t="str">
        <f t="shared" si="2"/>
        <v/>
      </c>
      <c r="V87" s="55"/>
      <c r="W87" s="55"/>
      <c r="X87" s="58"/>
      <c r="Y87" s="226" t="str">
        <f>IF(Q87&lt;&gt;"",IF(Q87&lt;=1.2,IF(O87="A","CR",IF(V87&lt;&gt;"",IF(Parametre_2018!N$4=1,IF(LEFT(V87,1)="1",IF(V87&lt;&gt;"",IF(Parametre_2018!O$4&lt;&gt;"",IF(N87&lt;=Parametre_2018!O$4,IF(V87&lt;&gt;"",IF(Parametre_2018!P$4&lt;&gt;"",IF(O87&lt;=Parametre_2018!P$4,"PLD",""),"PLD"),""),""),IF(V87&lt;&gt;"",IF(Parametre_2018!P$4&lt;&gt;"",IF(O87&lt;=Parametre_2018!P$4,"PLD",""),"PLD"),"")),""),""),IF(V87&lt;&gt;"",IF(Parametre_2018!O$4&lt;&gt;"",IF(N87&lt;=Parametre_2018!O$4,IF(V87&lt;&gt;"",IF(Parametre_2018!P$4&lt;&gt;"",IF(O87&lt;=Parametre_2018!P$4,"PLD",""),"PLD"),""),""),IF(V87&lt;&gt;"",IF(Parametre_2018!P$4&lt;&gt;"",IF(O87&lt;=Parametre_2018!P$4,"PLD",""),"PLD"),"")),"")),"")),IF(V87&lt;&gt;"",IF(Parametre_2018!N$4=1,IF(LEFT(V87,1)="1",IF(V87&lt;&gt;"",IF(Parametre_2018!O$4&lt;&gt;"",IF(N87&lt;=Parametre_2018!O$4,IF(V87&lt;&gt;"",IF(Parametre_2018!P$4&lt;&gt;"",IF(O87&lt;=Parametre_2018!P$4,"PLD",""),"PLD"),""),""),IF(V87&lt;&gt;"",IF(Parametre_2018!P$4&lt;&gt;"",IF(O87&lt;=Parametre_2018!P$4,"PLD",""),"PLD"),"")),""),""),IF(V87&lt;&gt;"",IF(Parametre_2018!O$4&lt;&gt;"",IF(N87&lt;=Parametre_2018!O$4,IF(V87&lt;&gt;"",IF(Parametre_2018!P$4&lt;&gt;"",IF(O87&lt;=Parametre_2018!P$4,"PLD",""),"PLD"),""),""),IF(V87&lt;&gt;"",IF(Parametre_2018!P$4&lt;&gt;"",IF(O87&lt;=Parametre_2018!P$4,"PLD",""),"PLD"),"")),"")),"")),"")</f>
        <v/>
      </c>
      <c r="Z87" s="58"/>
      <c r="AA87" s="227"/>
      <c r="AB87" s="228" t="str">
        <f>IF(Q87&lt;&gt;"",IF(Q87&lt;=Parametre_2018!B$4,IF(Parametre_2018!C$4&lt;&gt;"",IF(N87&lt;=Parametre_2018!C$4,IF(Parametre_2018!D$4&lt;&gt;"",IF(O87&lt;=Parametre_2018!D$4,"MCL",IF(Parametre_2018!I$4&lt;&gt;"",IF(N87&lt;=Parametre_2018!I$4,IF(Parametre_2018!J$4&lt;&gt;"",IF(O87&lt;=Parametre_2018!J$4,"CL",""),"CL"),""),IF(Parametre_2018!J$4&lt;&gt;"",IF(O87&lt;=Parametre_2018!J$4,"CL",""),"CL"))),"MCL"),IF(Parametre_2018!I$4&lt;&gt;"",IF(N87&lt;=Parametre_2018!I$4,IF(Parametre_2018!J$4&lt;&gt;"",IF(O87&lt;=Parametre_2018!J$4,"CL",""),"CL"),""),IF(Parametre_2018!J$4&lt;&gt;"",IF(O87&lt;=Parametre_2018!J$4,"CL",""),"CL"))),IF(Parametre_2018!D$4&lt;&gt;"",IF(O87&lt;=Parametre_2018!D$4,"MCL",IF(Parametre_2018!I$4&lt;&gt;"",IF(N87&lt;=Parametre_2018!I$4,IF(Parametre_2018!J$4&lt;&gt;"",IF(O87&lt;=Parametre_2018!J$4,"CL",""),"CL"),""),IF(Parametre_2018!J$4&lt;&gt;"",IF(O87&lt;=Parametre_2018!J$4,"CL",""),"CL"))),"MCL")),IF(Q87&lt;&gt;"",IF(AND(Q87&gt;Parametre_2018!B$4,Q87&lt;=Parametre_2018!H$4),IF(Parametre_2018!I$4&lt;&gt;"",IF(N87&lt;=Parametre_2018!I$4,IF(Parametre_2018!J$4&lt;&gt;"",IF(O87&lt;=Parametre_2018!J$4,"CL",""),"CL"),""),IF(Parametre_2018!J$4&lt;&gt;"",IF(O87&lt;=Parametre_2018!J$4,"CL",""),"CL")),""),"")),"")</f>
        <v/>
      </c>
      <c r="AC87" s="89"/>
      <c r="AD87" s="74"/>
      <c r="AE87" s="77"/>
      <c r="AF87" s="54"/>
    </row>
    <row r="88" spans="1:51" ht="48.75" customHeight="1" x14ac:dyDescent="0.25">
      <c r="A88" s="152">
        <v>79</v>
      </c>
      <c r="B88" s="152" t="s">
        <v>62</v>
      </c>
      <c r="C88" s="183" t="s">
        <v>420</v>
      </c>
      <c r="D88" s="183" t="s">
        <v>421</v>
      </c>
      <c r="E88" s="184" t="s">
        <v>50</v>
      </c>
      <c r="F88" s="185" t="s">
        <v>471</v>
      </c>
      <c r="G88" s="195">
        <v>43262</v>
      </c>
      <c r="H88" s="192" t="s">
        <v>500</v>
      </c>
      <c r="I88" s="192" t="s">
        <v>482</v>
      </c>
      <c r="J88" s="194" t="s">
        <v>501</v>
      </c>
      <c r="K88" s="164" t="s">
        <v>265</v>
      </c>
      <c r="L88" s="161" t="s">
        <v>159</v>
      </c>
      <c r="M88" s="163" t="s">
        <v>124</v>
      </c>
      <c r="N88" s="178" t="s">
        <v>60</v>
      </c>
      <c r="O88" s="198" t="s">
        <v>59</v>
      </c>
      <c r="P88" s="200">
        <v>2.36</v>
      </c>
      <c r="Q88" s="202">
        <v>2.19</v>
      </c>
      <c r="R88" s="213"/>
      <c r="S88" s="222" t="s">
        <v>62</v>
      </c>
      <c r="T88" s="174"/>
      <c r="U88" s="132" t="str">
        <f t="shared" si="2"/>
        <v/>
      </c>
      <c r="V88" s="152"/>
      <c r="W88" s="152"/>
      <c r="X88" s="204" t="s">
        <v>62</v>
      </c>
      <c r="Y88" s="226" t="str">
        <f>IF(Q88&lt;&gt;"",IF(Q88&lt;=1.2,IF(O88="A","CR",IF(V88&lt;&gt;"",IF(Parametre_2018!N$4=1,IF(LEFT(V88,1)="1",IF(V88&lt;&gt;"",IF(Parametre_2018!O$4&lt;&gt;"",IF(N88&lt;=Parametre_2018!O$4,IF(V88&lt;&gt;"",IF(Parametre_2018!P$4&lt;&gt;"",IF(O88&lt;=Parametre_2018!P$4,"PLD",""),"PLD"),""),""),IF(V88&lt;&gt;"",IF(Parametre_2018!P$4&lt;&gt;"",IF(O88&lt;=Parametre_2018!P$4,"PLD",""),"PLD"),"")),""),""),IF(V88&lt;&gt;"",IF(Parametre_2018!O$4&lt;&gt;"",IF(N88&lt;=Parametre_2018!O$4,IF(V88&lt;&gt;"",IF(Parametre_2018!P$4&lt;&gt;"",IF(O88&lt;=Parametre_2018!P$4,"PLD",""),"PLD"),""),""),IF(V88&lt;&gt;"",IF(Parametre_2018!P$4&lt;&gt;"",IF(O88&lt;=Parametre_2018!P$4,"PLD",""),"PLD"),"")),"")),"")),IF(V88&lt;&gt;"",IF(Parametre_2018!N$4=1,IF(LEFT(V88,1)="1",IF(V88&lt;&gt;"",IF(Parametre_2018!O$4&lt;&gt;"",IF(N88&lt;=Parametre_2018!O$4,IF(V88&lt;&gt;"",IF(Parametre_2018!P$4&lt;&gt;"",IF(O88&lt;=Parametre_2018!P$4,"PLD",""),"PLD"),""),""),IF(V88&lt;&gt;"",IF(Parametre_2018!P$4&lt;&gt;"",IF(O88&lt;=Parametre_2018!P$4,"PLD",""),"PLD"),"")),""),""),IF(V88&lt;&gt;"",IF(Parametre_2018!O$4&lt;&gt;"",IF(N88&lt;=Parametre_2018!O$4,IF(V88&lt;&gt;"",IF(Parametre_2018!P$4&lt;&gt;"",IF(O88&lt;=Parametre_2018!P$4,"PLD",""),"PLD"),""),""),IF(V88&lt;&gt;"",IF(Parametre_2018!P$4&lt;&gt;"",IF(O88&lt;=Parametre_2018!P$4,"PLD",""),"PLD"),"")),"")),"")),"")</f>
        <v/>
      </c>
      <c r="Z88" s="152"/>
      <c r="AA88" s="227"/>
      <c r="AB88" s="228" t="str">
        <f>IF(Q88&lt;&gt;"",IF(Q88&lt;=Parametre_2018!B$4,IF(Parametre_2018!C$4&lt;&gt;"",IF(N88&lt;=Parametre_2018!C$4,IF(Parametre_2018!D$4&lt;&gt;"",IF(O88&lt;=Parametre_2018!D$4,"MCL",IF(Parametre_2018!I$4&lt;&gt;"",IF(N88&lt;=Parametre_2018!I$4,IF(Parametre_2018!J$4&lt;&gt;"",IF(O88&lt;=Parametre_2018!J$4,"CL",""),"CL"),""),IF(Parametre_2018!J$4&lt;&gt;"",IF(O88&lt;=Parametre_2018!J$4,"CL",""),"CL"))),"MCL"),IF(Parametre_2018!I$4&lt;&gt;"",IF(N88&lt;=Parametre_2018!I$4,IF(Parametre_2018!J$4&lt;&gt;"",IF(O88&lt;=Parametre_2018!J$4,"CL",""),"CL"),""),IF(Parametre_2018!J$4&lt;&gt;"",IF(O88&lt;=Parametre_2018!J$4,"CL",""),"CL"))),IF(Parametre_2018!D$4&lt;&gt;"",IF(O88&lt;=Parametre_2018!D$4,"MCL",IF(Parametre_2018!I$4&lt;&gt;"",IF(N88&lt;=Parametre_2018!I$4,IF(Parametre_2018!J$4&lt;&gt;"",IF(O88&lt;=Parametre_2018!J$4,"CL",""),"CL"),""),IF(Parametre_2018!J$4&lt;&gt;"",IF(O88&lt;=Parametre_2018!J$4,"CL",""),"CL"))),"MCL")),IF(Q88&lt;&gt;"",IF(AND(Q88&gt;Parametre_2018!B$4,Q88&lt;=Parametre_2018!H$4),IF(Parametre_2018!I$4&lt;&gt;"",IF(N88&lt;=Parametre_2018!I$4,IF(Parametre_2018!J$4&lt;&gt;"",IF(O88&lt;=Parametre_2018!J$4,"CL",""),"CL"),""),IF(Parametre_2018!J$4&lt;&gt;"",IF(O88&lt;=Parametre_2018!J$4,"CL",""),"CL")),""),"")),"")</f>
        <v/>
      </c>
      <c r="AC88" s="155"/>
      <c r="AD88" s="74"/>
      <c r="AE88" s="155"/>
      <c r="AF88" s="175"/>
    </row>
    <row r="89" spans="1:51" ht="48.75" customHeight="1" x14ac:dyDescent="0.25">
      <c r="A89" s="152">
        <v>90</v>
      </c>
      <c r="B89" s="152" t="s">
        <v>62</v>
      </c>
      <c r="C89" s="183" t="s">
        <v>437</v>
      </c>
      <c r="D89" s="183" t="s">
        <v>316</v>
      </c>
      <c r="E89" s="184" t="s">
        <v>50</v>
      </c>
      <c r="F89" s="185" t="s">
        <v>471</v>
      </c>
      <c r="G89" s="195">
        <v>43262</v>
      </c>
      <c r="H89" s="188" t="s">
        <v>487</v>
      </c>
      <c r="I89" s="234" t="s">
        <v>19</v>
      </c>
      <c r="J89" s="219" t="s">
        <v>488</v>
      </c>
      <c r="K89" s="164" t="s">
        <v>276</v>
      </c>
      <c r="L89" s="161" t="s">
        <v>142</v>
      </c>
      <c r="M89" s="163" t="s">
        <v>125</v>
      </c>
      <c r="N89" s="178" t="s">
        <v>59</v>
      </c>
      <c r="O89" s="198" t="s">
        <v>27</v>
      </c>
      <c r="P89" s="200">
        <v>2.15</v>
      </c>
      <c r="Q89" s="205">
        <v>2.2000000000000002</v>
      </c>
      <c r="R89" s="213"/>
      <c r="S89" s="174"/>
      <c r="T89" s="174"/>
      <c r="U89" s="132" t="str">
        <f t="shared" si="2"/>
        <v/>
      </c>
      <c r="V89" s="152"/>
      <c r="W89" s="152"/>
      <c r="X89" s="204" t="s">
        <v>62</v>
      </c>
      <c r="Y89" s="226" t="str">
        <f>IF(Q89&lt;&gt;"",IF(Q89&lt;=1.2,IF(O89="A","CR",IF(V89&lt;&gt;"",IF(Parametre_2018!N$4=1,IF(LEFT(V89,1)="1",IF(V89&lt;&gt;"",IF(Parametre_2018!O$4&lt;&gt;"",IF(N89&lt;=Parametre_2018!O$4,IF(V89&lt;&gt;"",IF(Parametre_2018!P$4&lt;&gt;"",IF(O89&lt;=Parametre_2018!P$4,"PLD",""),"PLD"),""),""),IF(V89&lt;&gt;"",IF(Parametre_2018!P$4&lt;&gt;"",IF(O89&lt;=Parametre_2018!P$4,"PLD",""),"PLD"),"")),""),""),IF(V89&lt;&gt;"",IF(Parametre_2018!O$4&lt;&gt;"",IF(N89&lt;=Parametre_2018!O$4,IF(V89&lt;&gt;"",IF(Parametre_2018!P$4&lt;&gt;"",IF(O89&lt;=Parametre_2018!P$4,"PLD",""),"PLD"),""),""),IF(V89&lt;&gt;"",IF(Parametre_2018!P$4&lt;&gt;"",IF(O89&lt;=Parametre_2018!P$4,"PLD",""),"PLD"),"")),"")),"")),IF(V89&lt;&gt;"",IF(Parametre_2018!N$4=1,IF(LEFT(V89,1)="1",IF(V89&lt;&gt;"",IF(Parametre_2018!O$4&lt;&gt;"",IF(N89&lt;=Parametre_2018!O$4,IF(V89&lt;&gt;"",IF(Parametre_2018!P$4&lt;&gt;"",IF(O89&lt;=Parametre_2018!P$4,"PLD",""),"PLD"),""),""),IF(V89&lt;&gt;"",IF(Parametre_2018!P$4&lt;&gt;"",IF(O89&lt;=Parametre_2018!P$4,"PLD",""),"PLD"),"")),""),""),IF(V89&lt;&gt;"",IF(Parametre_2018!O$4&lt;&gt;"",IF(N89&lt;=Parametre_2018!O$4,IF(V89&lt;&gt;"",IF(Parametre_2018!P$4&lt;&gt;"",IF(O89&lt;=Parametre_2018!P$4,"PLD",""),"PLD"),""),""),IF(V89&lt;&gt;"",IF(Parametre_2018!P$4&lt;&gt;"",IF(O89&lt;=Parametre_2018!P$4,"PLD",""),"PLD"),"")),"")),"")),"")</f>
        <v/>
      </c>
      <c r="Z89" s="152"/>
      <c r="AA89" s="227"/>
      <c r="AB89" s="228" t="str">
        <f>IF(Q89&lt;&gt;"",IF(Q89&lt;=Parametre_2018!B$4,IF(Parametre_2018!C$4&lt;&gt;"",IF(N89&lt;=Parametre_2018!C$4,IF(Parametre_2018!D$4&lt;&gt;"",IF(O89&lt;=Parametre_2018!D$4,"MCL",IF(Parametre_2018!I$4&lt;&gt;"",IF(N89&lt;=Parametre_2018!I$4,IF(Parametre_2018!J$4&lt;&gt;"",IF(O89&lt;=Parametre_2018!J$4,"CL",""),"CL"),""),IF(Parametre_2018!J$4&lt;&gt;"",IF(O89&lt;=Parametre_2018!J$4,"CL",""),"CL"))),"MCL"),IF(Parametre_2018!I$4&lt;&gt;"",IF(N89&lt;=Parametre_2018!I$4,IF(Parametre_2018!J$4&lt;&gt;"",IF(O89&lt;=Parametre_2018!J$4,"CL",""),"CL"),""),IF(Parametre_2018!J$4&lt;&gt;"",IF(O89&lt;=Parametre_2018!J$4,"CL",""),"CL"))),IF(Parametre_2018!D$4&lt;&gt;"",IF(O89&lt;=Parametre_2018!D$4,"MCL",IF(Parametre_2018!I$4&lt;&gt;"",IF(N89&lt;=Parametre_2018!I$4,IF(Parametre_2018!J$4&lt;&gt;"",IF(O89&lt;=Parametre_2018!J$4,"CL",""),"CL"),""),IF(Parametre_2018!J$4&lt;&gt;"",IF(O89&lt;=Parametre_2018!J$4,"CL",""),"CL"))),"MCL")),IF(Q89&lt;&gt;"",IF(AND(Q89&gt;Parametre_2018!B$4,Q89&lt;=Parametre_2018!H$4),IF(Parametre_2018!I$4&lt;&gt;"",IF(N89&lt;=Parametre_2018!I$4,IF(Parametre_2018!J$4&lt;&gt;"",IF(O89&lt;=Parametre_2018!J$4,"CL",""),"CL"),""),IF(Parametre_2018!J$4&lt;&gt;"",IF(O89&lt;=Parametre_2018!J$4,"CL",""),"CL")),""),"")),"")</f>
        <v/>
      </c>
      <c r="AC89" s="155"/>
      <c r="AD89" s="74"/>
      <c r="AE89" s="155"/>
      <c r="AF89" s="175"/>
    </row>
    <row r="90" spans="1:51" ht="48.75" customHeight="1" x14ac:dyDescent="0.25">
      <c r="A90" s="152">
        <v>18</v>
      </c>
      <c r="B90" s="152"/>
      <c r="C90" s="183" t="s">
        <v>336</v>
      </c>
      <c r="D90" s="183" t="s">
        <v>337</v>
      </c>
      <c r="E90" s="184" t="s">
        <v>50</v>
      </c>
      <c r="F90" s="185" t="s">
        <v>470</v>
      </c>
      <c r="G90" s="186">
        <v>43263</v>
      </c>
      <c r="H90" s="188" t="s">
        <v>479</v>
      </c>
      <c r="I90" s="188" t="s">
        <v>480</v>
      </c>
      <c r="J90" s="154" t="s">
        <v>42</v>
      </c>
      <c r="K90" s="164" t="s">
        <v>204</v>
      </c>
      <c r="L90" s="161" t="s">
        <v>131</v>
      </c>
      <c r="M90" s="163" t="s">
        <v>141</v>
      </c>
      <c r="N90" s="177" t="s">
        <v>59</v>
      </c>
      <c r="O90" s="198" t="s">
        <v>59</v>
      </c>
      <c r="P90" s="200">
        <v>2.27</v>
      </c>
      <c r="Q90" s="205">
        <v>2.21</v>
      </c>
      <c r="R90" s="152"/>
      <c r="S90" s="152"/>
      <c r="T90" s="152"/>
      <c r="U90" s="132" t="str">
        <f t="shared" si="2"/>
        <v/>
      </c>
      <c r="V90" s="55"/>
      <c r="W90" s="55"/>
      <c r="X90" s="58"/>
      <c r="Y90" s="226" t="str">
        <f>IF(Q90&lt;&gt;"",IF(Q90&lt;=1.2,IF(O90="A","CR",IF(V90&lt;&gt;"",IF(Parametre_2018!N$4=1,IF(LEFT(V90,1)="1",IF(V90&lt;&gt;"",IF(Parametre_2018!O$4&lt;&gt;"",IF(N90&lt;=Parametre_2018!O$4,IF(V90&lt;&gt;"",IF(Parametre_2018!P$4&lt;&gt;"",IF(O90&lt;=Parametre_2018!P$4,"PLD",""),"PLD"),""),""),IF(V90&lt;&gt;"",IF(Parametre_2018!P$4&lt;&gt;"",IF(O90&lt;=Parametre_2018!P$4,"PLD",""),"PLD"),"")),""),""),IF(V90&lt;&gt;"",IF(Parametre_2018!O$4&lt;&gt;"",IF(N90&lt;=Parametre_2018!O$4,IF(V90&lt;&gt;"",IF(Parametre_2018!P$4&lt;&gt;"",IF(O90&lt;=Parametre_2018!P$4,"PLD",""),"PLD"),""),""),IF(V90&lt;&gt;"",IF(Parametre_2018!P$4&lt;&gt;"",IF(O90&lt;=Parametre_2018!P$4,"PLD",""),"PLD"),"")),"")),"")),IF(V90&lt;&gt;"",IF(Parametre_2018!N$4=1,IF(LEFT(V90,1)="1",IF(V90&lt;&gt;"",IF(Parametre_2018!O$4&lt;&gt;"",IF(N90&lt;=Parametre_2018!O$4,IF(V90&lt;&gt;"",IF(Parametre_2018!P$4&lt;&gt;"",IF(O90&lt;=Parametre_2018!P$4,"PLD",""),"PLD"),""),""),IF(V90&lt;&gt;"",IF(Parametre_2018!P$4&lt;&gt;"",IF(O90&lt;=Parametre_2018!P$4,"PLD",""),"PLD"),"")),""),""),IF(V90&lt;&gt;"",IF(Parametre_2018!O$4&lt;&gt;"",IF(N90&lt;=Parametre_2018!O$4,IF(V90&lt;&gt;"",IF(Parametre_2018!P$4&lt;&gt;"",IF(O90&lt;=Parametre_2018!P$4,"PLD",""),"PLD"),""),""),IF(V90&lt;&gt;"",IF(Parametre_2018!P$4&lt;&gt;"",IF(O90&lt;=Parametre_2018!P$4,"PLD",""),"PLD"),"")),"")),"")),"")</f>
        <v/>
      </c>
      <c r="Z90" s="58"/>
      <c r="AA90" s="227"/>
      <c r="AB90" s="228" t="str">
        <f>IF(Q90&lt;&gt;"",IF(Q90&lt;=Parametre_2018!B$4,IF(Parametre_2018!C$4&lt;&gt;"",IF(N90&lt;=Parametre_2018!C$4,IF(Parametre_2018!D$4&lt;&gt;"",IF(O90&lt;=Parametre_2018!D$4,"MCL",IF(Parametre_2018!I$4&lt;&gt;"",IF(N90&lt;=Parametre_2018!I$4,IF(Parametre_2018!J$4&lt;&gt;"",IF(O90&lt;=Parametre_2018!J$4,"CL",""),"CL"),""),IF(Parametre_2018!J$4&lt;&gt;"",IF(O90&lt;=Parametre_2018!J$4,"CL",""),"CL"))),"MCL"),IF(Parametre_2018!I$4&lt;&gt;"",IF(N90&lt;=Parametre_2018!I$4,IF(Parametre_2018!J$4&lt;&gt;"",IF(O90&lt;=Parametre_2018!J$4,"CL",""),"CL"),""),IF(Parametre_2018!J$4&lt;&gt;"",IF(O90&lt;=Parametre_2018!J$4,"CL",""),"CL"))),IF(Parametre_2018!D$4&lt;&gt;"",IF(O90&lt;=Parametre_2018!D$4,"MCL",IF(Parametre_2018!I$4&lt;&gt;"",IF(N90&lt;=Parametre_2018!I$4,IF(Parametre_2018!J$4&lt;&gt;"",IF(O90&lt;=Parametre_2018!J$4,"CL",""),"CL"),""),IF(Parametre_2018!J$4&lt;&gt;"",IF(O90&lt;=Parametre_2018!J$4,"CL",""),"CL"))),"MCL")),IF(Q90&lt;&gt;"",IF(AND(Q90&gt;Parametre_2018!B$4,Q90&lt;=Parametre_2018!H$4),IF(Parametre_2018!I$4&lt;&gt;"",IF(N90&lt;=Parametre_2018!I$4,IF(Parametre_2018!J$4&lt;&gt;"",IF(O90&lt;=Parametre_2018!J$4,"CL",""),"CL"),""),IF(Parametre_2018!J$4&lt;&gt;"",IF(O90&lt;=Parametre_2018!J$4,"CL",""),"CL")),""),"")),"")</f>
        <v/>
      </c>
      <c r="AC90" s="89"/>
      <c r="AD90" s="74"/>
      <c r="AE90" s="77"/>
      <c r="AF90" s="54"/>
    </row>
    <row r="91" spans="1:51" ht="48.75" customHeight="1" x14ac:dyDescent="0.25">
      <c r="A91" s="152">
        <v>104</v>
      </c>
      <c r="B91" s="152" t="s">
        <v>62</v>
      </c>
      <c r="C91" s="183" t="s">
        <v>454</v>
      </c>
      <c r="D91" s="183" t="s">
        <v>421</v>
      </c>
      <c r="E91" s="184" t="s">
        <v>50</v>
      </c>
      <c r="F91" s="185" t="s">
        <v>471</v>
      </c>
      <c r="G91" s="186">
        <v>43263</v>
      </c>
      <c r="H91" s="187" t="s">
        <v>481</v>
      </c>
      <c r="I91" s="192" t="s">
        <v>482</v>
      </c>
      <c r="J91" s="194" t="s">
        <v>483</v>
      </c>
      <c r="K91" s="164" t="s">
        <v>290</v>
      </c>
      <c r="L91" s="161" t="s">
        <v>153</v>
      </c>
      <c r="M91" s="163" t="s">
        <v>123</v>
      </c>
      <c r="N91" s="178" t="s">
        <v>59</v>
      </c>
      <c r="O91" s="198" t="s">
        <v>59</v>
      </c>
      <c r="P91" s="200">
        <v>2.21</v>
      </c>
      <c r="Q91" s="202">
        <v>2.21</v>
      </c>
      <c r="R91" s="213"/>
      <c r="S91" s="174"/>
      <c r="T91" s="174"/>
      <c r="U91" s="132" t="str">
        <f t="shared" si="2"/>
        <v/>
      </c>
      <c r="V91" s="152"/>
      <c r="W91" s="152"/>
      <c r="X91" s="155"/>
      <c r="Y91" s="226" t="str">
        <f>IF(Q91&lt;&gt;"",IF(Q91&lt;=1.2,IF(O91="A","CR",IF(V91&lt;&gt;"",IF(Parametre_2018!N$4=1,IF(LEFT(V91,1)="1",IF(V91&lt;&gt;"",IF(Parametre_2018!O$4&lt;&gt;"",IF(N91&lt;=Parametre_2018!O$4,IF(V91&lt;&gt;"",IF(Parametre_2018!P$4&lt;&gt;"",IF(O91&lt;=Parametre_2018!P$4,"PLD",""),"PLD"),""),""),IF(V91&lt;&gt;"",IF(Parametre_2018!P$4&lt;&gt;"",IF(O91&lt;=Parametre_2018!P$4,"PLD",""),"PLD"),"")),""),""),IF(V91&lt;&gt;"",IF(Parametre_2018!O$4&lt;&gt;"",IF(N91&lt;=Parametre_2018!O$4,IF(V91&lt;&gt;"",IF(Parametre_2018!P$4&lt;&gt;"",IF(O91&lt;=Parametre_2018!P$4,"PLD",""),"PLD"),""),""),IF(V91&lt;&gt;"",IF(Parametre_2018!P$4&lt;&gt;"",IF(O91&lt;=Parametre_2018!P$4,"PLD",""),"PLD"),"")),"")),"")),IF(V91&lt;&gt;"",IF(Parametre_2018!N$4=1,IF(LEFT(V91,1)="1",IF(V91&lt;&gt;"",IF(Parametre_2018!O$4&lt;&gt;"",IF(N91&lt;=Parametre_2018!O$4,IF(V91&lt;&gt;"",IF(Parametre_2018!P$4&lt;&gt;"",IF(O91&lt;=Parametre_2018!P$4,"PLD",""),"PLD"),""),""),IF(V91&lt;&gt;"",IF(Parametre_2018!P$4&lt;&gt;"",IF(O91&lt;=Parametre_2018!P$4,"PLD",""),"PLD"),"")),""),""),IF(V91&lt;&gt;"",IF(Parametre_2018!O$4&lt;&gt;"",IF(N91&lt;=Parametre_2018!O$4,IF(V91&lt;&gt;"",IF(Parametre_2018!P$4&lt;&gt;"",IF(O91&lt;=Parametre_2018!P$4,"PLD",""),"PLD"),""),""),IF(V91&lt;&gt;"",IF(Parametre_2018!P$4&lt;&gt;"",IF(O91&lt;=Parametre_2018!P$4,"PLD",""),"PLD"),"")),"")),"")),"")</f>
        <v/>
      </c>
      <c r="Z91" s="152"/>
      <c r="AA91" s="227"/>
      <c r="AB91" s="228" t="str">
        <f>IF(Q91&lt;&gt;"",IF(Q91&lt;=Parametre_2018!B$4,IF(Parametre_2018!C$4&lt;&gt;"",IF(N91&lt;=Parametre_2018!C$4,IF(Parametre_2018!D$4&lt;&gt;"",IF(O91&lt;=Parametre_2018!D$4,"MCL",IF(Parametre_2018!I$4&lt;&gt;"",IF(N91&lt;=Parametre_2018!I$4,IF(Parametre_2018!J$4&lt;&gt;"",IF(O91&lt;=Parametre_2018!J$4,"CL",""),"CL"),""),IF(Parametre_2018!J$4&lt;&gt;"",IF(O91&lt;=Parametre_2018!J$4,"CL",""),"CL"))),"MCL"),IF(Parametre_2018!I$4&lt;&gt;"",IF(N91&lt;=Parametre_2018!I$4,IF(Parametre_2018!J$4&lt;&gt;"",IF(O91&lt;=Parametre_2018!J$4,"CL",""),"CL"),""),IF(Parametre_2018!J$4&lt;&gt;"",IF(O91&lt;=Parametre_2018!J$4,"CL",""),"CL"))),IF(Parametre_2018!D$4&lt;&gt;"",IF(O91&lt;=Parametre_2018!D$4,"MCL",IF(Parametre_2018!I$4&lt;&gt;"",IF(N91&lt;=Parametre_2018!I$4,IF(Parametre_2018!J$4&lt;&gt;"",IF(O91&lt;=Parametre_2018!J$4,"CL",""),"CL"),""),IF(Parametre_2018!J$4&lt;&gt;"",IF(O91&lt;=Parametre_2018!J$4,"CL",""),"CL"))),"MCL")),IF(Q91&lt;&gt;"",IF(AND(Q91&gt;Parametre_2018!B$4,Q91&lt;=Parametre_2018!H$4),IF(Parametre_2018!I$4&lt;&gt;"",IF(N91&lt;=Parametre_2018!I$4,IF(Parametre_2018!J$4&lt;&gt;"",IF(O91&lt;=Parametre_2018!J$4,"CL",""),"CL"),""),IF(Parametre_2018!J$4&lt;&gt;"",IF(O91&lt;=Parametre_2018!J$4,"CL",""),"CL")),""),"")),"")</f>
        <v/>
      </c>
      <c r="AC91" s="155"/>
      <c r="AD91" s="74"/>
      <c r="AE91" s="155"/>
      <c r="AF91" s="175"/>
    </row>
    <row r="92" spans="1:51" ht="48.75" customHeight="1" x14ac:dyDescent="0.25">
      <c r="A92" s="152">
        <v>8</v>
      </c>
      <c r="B92" s="152" t="s">
        <v>62</v>
      </c>
      <c r="C92" s="183" t="s">
        <v>317</v>
      </c>
      <c r="D92" s="183" t="s">
        <v>318</v>
      </c>
      <c r="E92" s="184" t="s">
        <v>50</v>
      </c>
      <c r="F92" s="185" t="s">
        <v>471</v>
      </c>
      <c r="G92" s="195">
        <v>43262</v>
      </c>
      <c r="H92" s="192" t="s">
        <v>500</v>
      </c>
      <c r="I92" s="192" t="s">
        <v>482</v>
      </c>
      <c r="J92" s="194" t="s">
        <v>501</v>
      </c>
      <c r="K92" s="164" t="s">
        <v>194</v>
      </c>
      <c r="L92" s="161" t="s">
        <v>123</v>
      </c>
      <c r="M92" s="163" t="s">
        <v>153</v>
      </c>
      <c r="N92" s="178" t="s">
        <v>59</v>
      </c>
      <c r="O92" s="198" t="s">
        <v>27</v>
      </c>
      <c r="P92" s="200">
        <v>2.15</v>
      </c>
      <c r="Q92" s="202">
        <v>2.2200000000000002</v>
      </c>
      <c r="R92" s="152"/>
      <c r="S92" s="204" t="s">
        <v>62</v>
      </c>
      <c r="T92" s="152"/>
      <c r="U92" s="132" t="str">
        <f t="shared" si="2"/>
        <v/>
      </c>
      <c r="V92" s="55"/>
      <c r="W92" s="55"/>
      <c r="X92" s="58"/>
      <c r="Y92" s="226" t="str">
        <f>IF(Q92&lt;&gt;"",IF(Q92&lt;=1.2,IF(O92="A","CR",IF(V92&lt;&gt;"",IF(Parametre_2018!N$4=1,IF(LEFT(V92,1)="1",IF(V92&lt;&gt;"",IF(Parametre_2018!O$4&lt;&gt;"",IF(N92&lt;=Parametre_2018!O$4,IF(V92&lt;&gt;"",IF(Parametre_2018!P$4&lt;&gt;"",IF(O92&lt;=Parametre_2018!P$4,"PLD",""),"PLD"),""),""),IF(V92&lt;&gt;"",IF(Parametre_2018!P$4&lt;&gt;"",IF(O92&lt;=Parametre_2018!P$4,"PLD",""),"PLD"),"")),""),""),IF(V92&lt;&gt;"",IF(Parametre_2018!O$4&lt;&gt;"",IF(N92&lt;=Parametre_2018!O$4,IF(V92&lt;&gt;"",IF(Parametre_2018!P$4&lt;&gt;"",IF(O92&lt;=Parametre_2018!P$4,"PLD",""),"PLD"),""),""),IF(V92&lt;&gt;"",IF(Parametre_2018!P$4&lt;&gt;"",IF(O92&lt;=Parametre_2018!P$4,"PLD",""),"PLD"),"")),"")),"")),IF(V92&lt;&gt;"",IF(Parametre_2018!N$4=1,IF(LEFT(V92,1)="1",IF(V92&lt;&gt;"",IF(Parametre_2018!O$4&lt;&gt;"",IF(N92&lt;=Parametre_2018!O$4,IF(V92&lt;&gt;"",IF(Parametre_2018!P$4&lt;&gt;"",IF(O92&lt;=Parametre_2018!P$4,"PLD",""),"PLD"),""),""),IF(V92&lt;&gt;"",IF(Parametre_2018!P$4&lt;&gt;"",IF(O92&lt;=Parametre_2018!P$4,"PLD",""),"PLD"),"")),""),""),IF(V92&lt;&gt;"",IF(Parametre_2018!O$4&lt;&gt;"",IF(N92&lt;=Parametre_2018!O$4,IF(V92&lt;&gt;"",IF(Parametre_2018!P$4&lt;&gt;"",IF(O92&lt;=Parametre_2018!P$4,"PLD",""),"PLD"),""),""),IF(V92&lt;&gt;"",IF(Parametre_2018!P$4&lt;&gt;"",IF(O92&lt;=Parametre_2018!P$4,"PLD",""),"PLD"),"")),"")),"")),"")</f>
        <v/>
      </c>
      <c r="Z92" s="58"/>
      <c r="AA92" s="227"/>
      <c r="AB92" s="228" t="str">
        <f>IF(Q92&lt;&gt;"",IF(Q92&lt;=Parametre_2018!B$4,IF(Parametre_2018!C$4&lt;&gt;"",IF(N92&lt;=Parametre_2018!C$4,IF(Parametre_2018!D$4&lt;&gt;"",IF(O92&lt;=Parametre_2018!D$4,"MCL",IF(Parametre_2018!I$4&lt;&gt;"",IF(N92&lt;=Parametre_2018!I$4,IF(Parametre_2018!J$4&lt;&gt;"",IF(O92&lt;=Parametre_2018!J$4,"CL",""),"CL"),""),IF(Parametre_2018!J$4&lt;&gt;"",IF(O92&lt;=Parametre_2018!J$4,"CL",""),"CL"))),"MCL"),IF(Parametre_2018!I$4&lt;&gt;"",IF(N92&lt;=Parametre_2018!I$4,IF(Parametre_2018!J$4&lt;&gt;"",IF(O92&lt;=Parametre_2018!J$4,"CL",""),"CL"),""),IF(Parametre_2018!J$4&lt;&gt;"",IF(O92&lt;=Parametre_2018!J$4,"CL",""),"CL"))),IF(Parametre_2018!D$4&lt;&gt;"",IF(O92&lt;=Parametre_2018!D$4,"MCL",IF(Parametre_2018!I$4&lt;&gt;"",IF(N92&lt;=Parametre_2018!I$4,IF(Parametre_2018!J$4&lt;&gt;"",IF(O92&lt;=Parametre_2018!J$4,"CL",""),"CL"),""),IF(Parametre_2018!J$4&lt;&gt;"",IF(O92&lt;=Parametre_2018!J$4,"CL",""),"CL"))),"MCL")),IF(Q92&lt;&gt;"",IF(AND(Q92&gt;Parametre_2018!B$4,Q92&lt;=Parametre_2018!H$4),IF(Parametre_2018!I$4&lt;&gt;"",IF(N92&lt;=Parametre_2018!I$4,IF(Parametre_2018!J$4&lt;&gt;"",IF(O92&lt;=Parametre_2018!J$4,"CL",""),"CL"),""),IF(Parametre_2018!J$4&lt;&gt;"",IF(O92&lt;=Parametre_2018!J$4,"CL",""),"CL")),""),"")),"")</f>
        <v/>
      </c>
      <c r="AC92" s="89"/>
      <c r="AD92" s="74"/>
      <c r="AE92" s="77"/>
      <c r="AF92" s="54"/>
    </row>
    <row r="93" spans="1:51" ht="48.75" customHeight="1" x14ac:dyDescent="0.25">
      <c r="A93" s="152">
        <v>37</v>
      </c>
      <c r="B93" s="152" t="s">
        <v>62</v>
      </c>
      <c r="C93" s="183" t="s">
        <v>365</v>
      </c>
      <c r="D93" s="183" t="s">
        <v>57</v>
      </c>
      <c r="E93" s="184" t="s">
        <v>50</v>
      </c>
      <c r="F93" s="185" t="s">
        <v>470</v>
      </c>
      <c r="G93" s="195">
        <v>43262</v>
      </c>
      <c r="H93" s="187" t="s">
        <v>491</v>
      </c>
      <c r="I93" s="192" t="s">
        <v>44</v>
      </c>
      <c r="J93" s="216" t="s">
        <v>492</v>
      </c>
      <c r="K93" s="164" t="s">
        <v>223</v>
      </c>
      <c r="L93" s="161" t="s">
        <v>125</v>
      </c>
      <c r="M93" s="163" t="s">
        <v>156</v>
      </c>
      <c r="N93" s="179" t="s">
        <v>27</v>
      </c>
      <c r="O93" s="198" t="s">
        <v>59</v>
      </c>
      <c r="P93" s="200">
        <v>2.2599999999999998</v>
      </c>
      <c r="Q93" s="202">
        <v>2.2200000000000002</v>
      </c>
      <c r="R93" s="60"/>
      <c r="S93" s="60"/>
      <c r="T93" s="58"/>
      <c r="U93" s="132" t="str">
        <f t="shared" si="2"/>
        <v/>
      </c>
      <c r="V93" s="55"/>
      <c r="W93" s="55"/>
      <c r="X93" s="54"/>
      <c r="Y93" s="226" t="str">
        <f>IF(Q93&lt;&gt;"",IF(Q93&lt;=1.2,IF(O93="A","CR",IF(V93&lt;&gt;"",IF(Parametre_2018!N$4=1,IF(LEFT(V93,1)="1",IF(V93&lt;&gt;"",IF(Parametre_2018!O$4&lt;&gt;"",IF(N93&lt;=Parametre_2018!O$4,IF(V93&lt;&gt;"",IF(Parametre_2018!P$4&lt;&gt;"",IF(O93&lt;=Parametre_2018!P$4,"PLD",""),"PLD"),""),""),IF(V93&lt;&gt;"",IF(Parametre_2018!P$4&lt;&gt;"",IF(O93&lt;=Parametre_2018!P$4,"PLD",""),"PLD"),"")),""),""),IF(V93&lt;&gt;"",IF(Parametre_2018!O$4&lt;&gt;"",IF(N93&lt;=Parametre_2018!O$4,IF(V93&lt;&gt;"",IF(Parametre_2018!P$4&lt;&gt;"",IF(O93&lt;=Parametre_2018!P$4,"PLD",""),"PLD"),""),""),IF(V93&lt;&gt;"",IF(Parametre_2018!P$4&lt;&gt;"",IF(O93&lt;=Parametre_2018!P$4,"PLD",""),"PLD"),"")),"")),"")),IF(V93&lt;&gt;"",IF(Parametre_2018!N$4=1,IF(LEFT(V93,1)="1",IF(V93&lt;&gt;"",IF(Parametre_2018!O$4&lt;&gt;"",IF(N93&lt;=Parametre_2018!O$4,IF(V93&lt;&gt;"",IF(Parametre_2018!P$4&lt;&gt;"",IF(O93&lt;=Parametre_2018!P$4,"PLD",""),"PLD"),""),""),IF(V93&lt;&gt;"",IF(Parametre_2018!P$4&lt;&gt;"",IF(O93&lt;=Parametre_2018!P$4,"PLD",""),"PLD"),"")),""),""),IF(V93&lt;&gt;"",IF(Parametre_2018!O$4&lt;&gt;"",IF(N93&lt;=Parametre_2018!O$4,IF(V93&lt;&gt;"",IF(Parametre_2018!P$4&lt;&gt;"",IF(O93&lt;=Parametre_2018!P$4,"PLD",""),"PLD"),""),""),IF(V93&lt;&gt;"",IF(Parametre_2018!P$4&lt;&gt;"",IF(O93&lt;=Parametre_2018!P$4,"PLD",""),"PLD"),"")),"")),"")),"")</f>
        <v/>
      </c>
      <c r="Z93" s="58"/>
      <c r="AA93" s="227"/>
      <c r="AB93" s="228" t="str">
        <f>IF(Q93&lt;&gt;"",IF(Q93&lt;=Parametre_2018!B$4,IF(Parametre_2018!C$4&lt;&gt;"",IF(N93&lt;=Parametre_2018!C$4,IF(Parametre_2018!D$4&lt;&gt;"",IF(O93&lt;=Parametre_2018!D$4,"MCL",IF(Parametre_2018!I$4&lt;&gt;"",IF(N93&lt;=Parametre_2018!I$4,IF(Parametre_2018!J$4&lt;&gt;"",IF(O93&lt;=Parametre_2018!J$4,"CL",""),"CL"),""),IF(Parametre_2018!J$4&lt;&gt;"",IF(O93&lt;=Parametre_2018!J$4,"CL",""),"CL"))),"MCL"),IF(Parametre_2018!I$4&lt;&gt;"",IF(N93&lt;=Parametre_2018!I$4,IF(Parametre_2018!J$4&lt;&gt;"",IF(O93&lt;=Parametre_2018!J$4,"CL",""),"CL"),""),IF(Parametre_2018!J$4&lt;&gt;"",IF(O93&lt;=Parametre_2018!J$4,"CL",""),"CL"))),IF(Parametre_2018!D$4&lt;&gt;"",IF(O93&lt;=Parametre_2018!D$4,"MCL",IF(Parametre_2018!I$4&lt;&gt;"",IF(N93&lt;=Parametre_2018!I$4,IF(Parametre_2018!J$4&lt;&gt;"",IF(O93&lt;=Parametre_2018!J$4,"CL",""),"CL"),""),IF(Parametre_2018!J$4&lt;&gt;"",IF(O93&lt;=Parametre_2018!J$4,"CL",""),"CL"))),"MCL")),IF(Q93&lt;&gt;"",IF(AND(Q93&gt;Parametre_2018!B$4,Q93&lt;=Parametre_2018!H$4),IF(Parametre_2018!I$4&lt;&gt;"",IF(N93&lt;=Parametre_2018!I$4,IF(Parametre_2018!J$4&lt;&gt;"",IF(O93&lt;=Parametre_2018!J$4,"CL",""),"CL"),""),IF(Parametre_2018!J$4&lt;&gt;"",IF(O93&lt;=Parametre_2018!J$4,"CL",""),"CL")),""),"")),"")</f>
        <v/>
      </c>
      <c r="AC93" s="89"/>
      <c r="AD93" s="74"/>
      <c r="AE93" s="54"/>
      <c r="AF93" s="54"/>
    </row>
    <row r="94" spans="1:51" ht="48.75" customHeight="1" x14ac:dyDescent="0.25">
      <c r="A94" s="152">
        <v>102</v>
      </c>
      <c r="B94" s="152" t="s">
        <v>62</v>
      </c>
      <c r="C94" s="183" t="s">
        <v>452</v>
      </c>
      <c r="D94" s="183" t="s">
        <v>448</v>
      </c>
      <c r="E94" s="184" t="s">
        <v>50</v>
      </c>
      <c r="F94" s="185" t="s">
        <v>470</v>
      </c>
      <c r="G94" s="195">
        <v>43262</v>
      </c>
      <c r="H94" s="192" t="s">
        <v>500</v>
      </c>
      <c r="I94" s="192" t="s">
        <v>482</v>
      </c>
      <c r="J94" s="194" t="s">
        <v>501</v>
      </c>
      <c r="K94" s="164" t="s">
        <v>288</v>
      </c>
      <c r="L94" s="161" t="s">
        <v>168</v>
      </c>
      <c r="M94" s="163" t="s">
        <v>134</v>
      </c>
      <c r="N94" s="178" t="s">
        <v>59</v>
      </c>
      <c r="O94" s="198" t="s">
        <v>27</v>
      </c>
      <c r="P94" s="200">
        <v>2.09</v>
      </c>
      <c r="Q94" s="202">
        <v>2.2200000000000002</v>
      </c>
      <c r="R94" s="213"/>
      <c r="S94" s="174"/>
      <c r="T94" s="174"/>
      <c r="U94" s="132" t="str">
        <f t="shared" si="2"/>
        <v/>
      </c>
      <c r="V94" s="152"/>
      <c r="W94" s="152"/>
      <c r="X94" s="155"/>
      <c r="Y94" s="226" t="str">
        <f>IF(Q94&lt;&gt;"",IF(Q94&lt;=1.2,IF(O94="A","CR",IF(V94&lt;&gt;"",IF(Parametre_2018!N$4=1,IF(LEFT(V94,1)="1",IF(V94&lt;&gt;"",IF(Parametre_2018!O$4&lt;&gt;"",IF(N94&lt;=Parametre_2018!O$4,IF(V94&lt;&gt;"",IF(Parametre_2018!P$4&lt;&gt;"",IF(O94&lt;=Parametre_2018!P$4,"PLD",""),"PLD"),""),""),IF(V94&lt;&gt;"",IF(Parametre_2018!P$4&lt;&gt;"",IF(O94&lt;=Parametre_2018!P$4,"PLD",""),"PLD"),"")),""),""),IF(V94&lt;&gt;"",IF(Parametre_2018!O$4&lt;&gt;"",IF(N94&lt;=Parametre_2018!O$4,IF(V94&lt;&gt;"",IF(Parametre_2018!P$4&lt;&gt;"",IF(O94&lt;=Parametre_2018!P$4,"PLD",""),"PLD"),""),""),IF(V94&lt;&gt;"",IF(Parametre_2018!P$4&lt;&gt;"",IF(O94&lt;=Parametre_2018!P$4,"PLD",""),"PLD"),"")),"")),"")),IF(V94&lt;&gt;"",IF(Parametre_2018!N$4=1,IF(LEFT(V94,1)="1",IF(V94&lt;&gt;"",IF(Parametre_2018!O$4&lt;&gt;"",IF(N94&lt;=Parametre_2018!O$4,IF(V94&lt;&gt;"",IF(Parametre_2018!P$4&lt;&gt;"",IF(O94&lt;=Parametre_2018!P$4,"PLD",""),"PLD"),""),""),IF(V94&lt;&gt;"",IF(Parametre_2018!P$4&lt;&gt;"",IF(O94&lt;=Parametre_2018!P$4,"PLD",""),"PLD"),"")),""),""),IF(V94&lt;&gt;"",IF(Parametre_2018!O$4&lt;&gt;"",IF(N94&lt;=Parametre_2018!O$4,IF(V94&lt;&gt;"",IF(Parametre_2018!P$4&lt;&gt;"",IF(O94&lt;=Parametre_2018!P$4,"PLD",""),"PLD"),""),""),IF(V94&lt;&gt;"",IF(Parametre_2018!P$4&lt;&gt;"",IF(O94&lt;=Parametre_2018!P$4,"PLD",""),"PLD"),"")),"")),"")),"")</f>
        <v/>
      </c>
      <c r="Z94" s="152"/>
      <c r="AA94" s="227"/>
      <c r="AB94" s="228" t="str">
        <f>IF(Q94&lt;&gt;"",IF(Q94&lt;=Parametre_2018!B$4,IF(Parametre_2018!C$4&lt;&gt;"",IF(N94&lt;=Parametre_2018!C$4,IF(Parametre_2018!D$4&lt;&gt;"",IF(O94&lt;=Parametre_2018!D$4,"MCL",IF(Parametre_2018!I$4&lt;&gt;"",IF(N94&lt;=Parametre_2018!I$4,IF(Parametre_2018!J$4&lt;&gt;"",IF(O94&lt;=Parametre_2018!J$4,"CL",""),"CL"),""),IF(Parametre_2018!J$4&lt;&gt;"",IF(O94&lt;=Parametre_2018!J$4,"CL",""),"CL"))),"MCL"),IF(Parametre_2018!I$4&lt;&gt;"",IF(N94&lt;=Parametre_2018!I$4,IF(Parametre_2018!J$4&lt;&gt;"",IF(O94&lt;=Parametre_2018!J$4,"CL",""),"CL"),""),IF(Parametre_2018!J$4&lt;&gt;"",IF(O94&lt;=Parametre_2018!J$4,"CL",""),"CL"))),IF(Parametre_2018!D$4&lt;&gt;"",IF(O94&lt;=Parametre_2018!D$4,"MCL",IF(Parametre_2018!I$4&lt;&gt;"",IF(N94&lt;=Parametre_2018!I$4,IF(Parametre_2018!J$4&lt;&gt;"",IF(O94&lt;=Parametre_2018!J$4,"CL",""),"CL"),""),IF(Parametre_2018!J$4&lt;&gt;"",IF(O94&lt;=Parametre_2018!J$4,"CL",""),"CL"))),"MCL")),IF(Q94&lt;&gt;"",IF(AND(Q94&gt;Parametre_2018!B$4,Q94&lt;=Parametre_2018!H$4),IF(Parametre_2018!I$4&lt;&gt;"",IF(N94&lt;=Parametre_2018!I$4,IF(Parametre_2018!J$4&lt;&gt;"",IF(O94&lt;=Parametre_2018!J$4,"CL",""),"CL"),""),IF(Parametre_2018!J$4&lt;&gt;"",IF(O94&lt;=Parametre_2018!J$4,"CL",""),"CL")),""),"")),"")</f>
        <v/>
      </c>
      <c r="AC94" s="155"/>
      <c r="AD94" s="74"/>
      <c r="AE94" s="155"/>
      <c r="AF94" s="175"/>
    </row>
    <row r="95" spans="1:51" ht="48.75" customHeight="1" x14ac:dyDescent="0.25">
      <c r="A95" s="152">
        <v>108</v>
      </c>
      <c r="B95" s="152" t="s">
        <v>62</v>
      </c>
      <c r="C95" s="183" t="s">
        <v>459</v>
      </c>
      <c r="D95" s="183" t="s">
        <v>52</v>
      </c>
      <c r="E95" s="184" t="s">
        <v>50</v>
      </c>
      <c r="F95" s="185" t="s">
        <v>470</v>
      </c>
      <c r="G95" s="195">
        <v>43262</v>
      </c>
      <c r="H95" s="192" t="s">
        <v>502</v>
      </c>
      <c r="I95" s="192" t="s">
        <v>485</v>
      </c>
      <c r="J95" s="194" t="s">
        <v>503</v>
      </c>
      <c r="K95" s="164" t="s">
        <v>294</v>
      </c>
      <c r="L95" s="161" t="s">
        <v>128</v>
      </c>
      <c r="M95" s="163" t="s">
        <v>141</v>
      </c>
      <c r="N95" s="178" t="s">
        <v>59</v>
      </c>
      <c r="O95" s="198" t="s">
        <v>59</v>
      </c>
      <c r="P95" s="200">
        <v>2.2200000000000002</v>
      </c>
      <c r="Q95" s="202">
        <v>2.2200000000000002</v>
      </c>
      <c r="R95" s="213"/>
      <c r="S95" s="174"/>
      <c r="T95" s="174"/>
      <c r="U95" s="132" t="str">
        <f t="shared" si="2"/>
        <v/>
      </c>
      <c r="V95" s="152"/>
      <c r="W95" s="152"/>
      <c r="X95" s="155"/>
      <c r="Y95" s="226" t="str">
        <f>IF(Q95&lt;&gt;"",IF(Q95&lt;=1.2,IF(O95="A","CR",IF(V95&lt;&gt;"",IF(Parametre_2018!N$4=1,IF(LEFT(V95,1)="1",IF(V95&lt;&gt;"",IF(Parametre_2018!O$4&lt;&gt;"",IF(N95&lt;=Parametre_2018!O$4,IF(V95&lt;&gt;"",IF(Parametre_2018!P$4&lt;&gt;"",IF(O95&lt;=Parametre_2018!P$4,"PLD",""),"PLD"),""),""),IF(V95&lt;&gt;"",IF(Parametre_2018!P$4&lt;&gt;"",IF(O95&lt;=Parametre_2018!P$4,"PLD",""),"PLD"),"")),""),""),IF(V95&lt;&gt;"",IF(Parametre_2018!O$4&lt;&gt;"",IF(N95&lt;=Parametre_2018!O$4,IF(V95&lt;&gt;"",IF(Parametre_2018!P$4&lt;&gt;"",IF(O95&lt;=Parametre_2018!P$4,"PLD",""),"PLD"),""),""),IF(V95&lt;&gt;"",IF(Parametre_2018!P$4&lt;&gt;"",IF(O95&lt;=Parametre_2018!P$4,"PLD",""),"PLD"),"")),"")),"")),IF(V95&lt;&gt;"",IF(Parametre_2018!N$4=1,IF(LEFT(V95,1)="1",IF(V95&lt;&gt;"",IF(Parametre_2018!O$4&lt;&gt;"",IF(N95&lt;=Parametre_2018!O$4,IF(V95&lt;&gt;"",IF(Parametre_2018!P$4&lt;&gt;"",IF(O95&lt;=Parametre_2018!P$4,"PLD",""),"PLD"),""),""),IF(V95&lt;&gt;"",IF(Parametre_2018!P$4&lt;&gt;"",IF(O95&lt;=Parametre_2018!P$4,"PLD",""),"PLD"),"")),""),""),IF(V95&lt;&gt;"",IF(Parametre_2018!O$4&lt;&gt;"",IF(N95&lt;=Parametre_2018!O$4,IF(V95&lt;&gt;"",IF(Parametre_2018!P$4&lt;&gt;"",IF(O95&lt;=Parametre_2018!P$4,"PLD",""),"PLD"),""),""),IF(V95&lt;&gt;"",IF(Parametre_2018!P$4&lt;&gt;"",IF(O95&lt;=Parametre_2018!P$4,"PLD",""),"PLD"),"")),"")),"")),"")</f>
        <v/>
      </c>
      <c r="Z95" s="152"/>
      <c r="AA95" s="227"/>
      <c r="AB95" s="228" t="str">
        <f>IF(Q95&lt;&gt;"",IF(Q95&lt;=Parametre_2018!B$4,IF(Parametre_2018!C$4&lt;&gt;"",IF(N95&lt;=Parametre_2018!C$4,IF(Parametre_2018!D$4&lt;&gt;"",IF(O95&lt;=Parametre_2018!D$4,"MCL",IF(Parametre_2018!I$4&lt;&gt;"",IF(N95&lt;=Parametre_2018!I$4,IF(Parametre_2018!J$4&lt;&gt;"",IF(O95&lt;=Parametre_2018!J$4,"CL",""),"CL"),""),IF(Parametre_2018!J$4&lt;&gt;"",IF(O95&lt;=Parametre_2018!J$4,"CL",""),"CL"))),"MCL"),IF(Parametre_2018!I$4&lt;&gt;"",IF(N95&lt;=Parametre_2018!I$4,IF(Parametre_2018!J$4&lt;&gt;"",IF(O95&lt;=Parametre_2018!J$4,"CL",""),"CL"),""),IF(Parametre_2018!J$4&lt;&gt;"",IF(O95&lt;=Parametre_2018!J$4,"CL",""),"CL"))),IF(Parametre_2018!D$4&lt;&gt;"",IF(O95&lt;=Parametre_2018!D$4,"MCL",IF(Parametre_2018!I$4&lt;&gt;"",IF(N95&lt;=Parametre_2018!I$4,IF(Parametre_2018!J$4&lt;&gt;"",IF(O95&lt;=Parametre_2018!J$4,"CL",""),"CL"),""),IF(Parametre_2018!J$4&lt;&gt;"",IF(O95&lt;=Parametre_2018!J$4,"CL",""),"CL"))),"MCL")),IF(Q95&lt;&gt;"",IF(AND(Q95&gt;Parametre_2018!B$4,Q95&lt;=Parametre_2018!H$4),IF(Parametre_2018!I$4&lt;&gt;"",IF(N95&lt;=Parametre_2018!I$4,IF(Parametre_2018!J$4&lt;&gt;"",IF(O95&lt;=Parametre_2018!J$4,"CL",""),"CL"),""),IF(Parametre_2018!J$4&lt;&gt;"",IF(O95&lt;=Parametre_2018!J$4,"CL",""),"CL")),""),"")),"")</f>
        <v/>
      </c>
      <c r="AC95" s="155"/>
      <c r="AD95" s="74"/>
      <c r="AE95" s="155"/>
      <c r="AF95" s="175"/>
    </row>
    <row r="96" spans="1:51" ht="48.75" customHeight="1" x14ac:dyDescent="0.25">
      <c r="A96" s="152">
        <v>10</v>
      </c>
      <c r="B96" s="204" t="s">
        <v>62</v>
      </c>
      <c r="C96" s="183" t="s">
        <v>321</v>
      </c>
      <c r="D96" s="183" t="s">
        <v>311</v>
      </c>
      <c r="E96" s="184" t="s">
        <v>50</v>
      </c>
      <c r="F96" s="185" t="s">
        <v>471</v>
      </c>
      <c r="G96" s="195">
        <v>43262</v>
      </c>
      <c r="H96" s="187" t="s">
        <v>491</v>
      </c>
      <c r="I96" s="187" t="s">
        <v>44</v>
      </c>
      <c r="J96" s="155" t="s">
        <v>492</v>
      </c>
      <c r="K96" s="164" t="s">
        <v>196</v>
      </c>
      <c r="L96" s="161" t="s">
        <v>125</v>
      </c>
      <c r="M96" s="163" t="s">
        <v>154</v>
      </c>
      <c r="N96" s="177" t="s">
        <v>59</v>
      </c>
      <c r="O96" s="198" t="s">
        <v>60</v>
      </c>
      <c r="P96" s="200">
        <v>2.4300000000000002</v>
      </c>
      <c r="Q96" s="205">
        <v>2.23</v>
      </c>
      <c r="R96" s="152"/>
      <c r="S96" s="204" t="s">
        <v>62</v>
      </c>
      <c r="T96" s="152"/>
      <c r="U96" s="132" t="str">
        <f t="shared" si="2"/>
        <v/>
      </c>
      <c r="V96" s="55"/>
      <c r="W96" s="55"/>
      <c r="X96" s="58"/>
      <c r="Y96" s="226" t="str">
        <f>IF(Q96&lt;&gt;"",IF(Q96&lt;=1.2,IF(O96="A","CR",IF(V96&lt;&gt;"",IF(Parametre_2018!N$4=1,IF(LEFT(V96,1)="1",IF(V96&lt;&gt;"",IF(Parametre_2018!O$4&lt;&gt;"",IF(N96&lt;=Parametre_2018!O$4,IF(V96&lt;&gt;"",IF(Parametre_2018!P$4&lt;&gt;"",IF(O96&lt;=Parametre_2018!P$4,"PLD",""),"PLD"),""),""),IF(V96&lt;&gt;"",IF(Parametre_2018!P$4&lt;&gt;"",IF(O96&lt;=Parametre_2018!P$4,"PLD",""),"PLD"),"")),""),""),IF(V96&lt;&gt;"",IF(Parametre_2018!O$4&lt;&gt;"",IF(N96&lt;=Parametre_2018!O$4,IF(V96&lt;&gt;"",IF(Parametre_2018!P$4&lt;&gt;"",IF(O96&lt;=Parametre_2018!P$4,"PLD",""),"PLD"),""),""),IF(V96&lt;&gt;"",IF(Parametre_2018!P$4&lt;&gt;"",IF(O96&lt;=Parametre_2018!P$4,"PLD",""),"PLD"),"")),"")),"")),IF(V96&lt;&gt;"",IF(Parametre_2018!N$4=1,IF(LEFT(V96,1)="1",IF(V96&lt;&gt;"",IF(Parametre_2018!O$4&lt;&gt;"",IF(N96&lt;=Parametre_2018!O$4,IF(V96&lt;&gt;"",IF(Parametre_2018!P$4&lt;&gt;"",IF(O96&lt;=Parametre_2018!P$4,"PLD",""),"PLD"),""),""),IF(V96&lt;&gt;"",IF(Parametre_2018!P$4&lt;&gt;"",IF(O96&lt;=Parametre_2018!P$4,"PLD",""),"PLD"),"")),""),""),IF(V96&lt;&gt;"",IF(Parametre_2018!O$4&lt;&gt;"",IF(N96&lt;=Parametre_2018!O$4,IF(V96&lt;&gt;"",IF(Parametre_2018!P$4&lt;&gt;"",IF(O96&lt;=Parametre_2018!P$4,"PLD",""),"PLD"),""),""),IF(V96&lt;&gt;"",IF(Parametre_2018!P$4&lt;&gt;"",IF(O96&lt;=Parametre_2018!P$4,"PLD",""),"PLD"),"")),"")),"")),"")</f>
        <v/>
      </c>
      <c r="Z96" s="58"/>
      <c r="AA96" s="227"/>
      <c r="AB96" s="228" t="str">
        <f>IF(Q96&lt;&gt;"",IF(Q96&lt;=Parametre_2018!B$4,IF(Parametre_2018!C$4&lt;&gt;"",IF(N96&lt;=Parametre_2018!C$4,IF(Parametre_2018!D$4&lt;&gt;"",IF(O96&lt;=Parametre_2018!D$4,"MCL",IF(Parametre_2018!I$4&lt;&gt;"",IF(N96&lt;=Parametre_2018!I$4,IF(Parametre_2018!J$4&lt;&gt;"",IF(O96&lt;=Parametre_2018!J$4,"CL",""),"CL"),""),IF(Parametre_2018!J$4&lt;&gt;"",IF(O96&lt;=Parametre_2018!J$4,"CL",""),"CL"))),"MCL"),IF(Parametre_2018!I$4&lt;&gt;"",IF(N96&lt;=Parametre_2018!I$4,IF(Parametre_2018!J$4&lt;&gt;"",IF(O96&lt;=Parametre_2018!J$4,"CL",""),"CL"),""),IF(Parametre_2018!J$4&lt;&gt;"",IF(O96&lt;=Parametre_2018!J$4,"CL",""),"CL"))),IF(Parametre_2018!D$4&lt;&gt;"",IF(O96&lt;=Parametre_2018!D$4,"MCL",IF(Parametre_2018!I$4&lt;&gt;"",IF(N96&lt;=Parametre_2018!I$4,IF(Parametre_2018!J$4&lt;&gt;"",IF(O96&lt;=Parametre_2018!J$4,"CL",""),"CL"),""),IF(Parametre_2018!J$4&lt;&gt;"",IF(O96&lt;=Parametre_2018!J$4,"CL",""),"CL"))),"MCL")),IF(Q96&lt;&gt;"",IF(AND(Q96&gt;Parametre_2018!B$4,Q96&lt;=Parametre_2018!H$4),IF(Parametre_2018!I$4&lt;&gt;"",IF(N96&lt;=Parametre_2018!I$4,IF(Parametre_2018!J$4&lt;&gt;"",IF(O96&lt;=Parametre_2018!J$4,"CL",""),"CL"),""),IF(Parametre_2018!J$4&lt;&gt;"",IF(O96&lt;=Parametre_2018!J$4,"CL",""),"CL")),""),"")),"")</f>
        <v/>
      </c>
      <c r="AC96" s="89"/>
      <c r="AD96" s="74"/>
      <c r="AE96" s="77"/>
      <c r="AF96" s="54"/>
    </row>
    <row r="97" spans="1:32" ht="48.75" customHeight="1" x14ac:dyDescent="0.25">
      <c r="A97" s="152">
        <v>68</v>
      </c>
      <c r="B97" s="152" t="s">
        <v>62</v>
      </c>
      <c r="C97" s="183" t="s">
        <v>407</v>
      </c>
      <c r="D97" s="183" t="s">
        <v>325</v>
      </c>
      <c r="E97" s="184" t="s">
        <v>50</v>
      </c>
      <c r="F97" s="185" t="s">
        <v>471</v>
      </c>
      <c r="G97" s="186">
        <v>43263</v>
      </c>
      <c r="H97" s="187" t="s">
        <v>477</v>
      </c>
      <c r="I97" s="192" t="s">
        <v>478</v>
      </c>
      <c r="J97" s="172" t="s">
        <v>476</v>
      </c>
      <c r="K97" s="164" t="s">
        <v>254</v>
      </c>
      <c r="L97" s="161" t="s">
        <v>154</v>
      </c>
      <c r="M97" s="163" t="s">
        <v>176</v>
      </c>
      <c r="N97" s="178" t="s">
        <v>59</v>
      </c>
      <c r="O97" s="198" t="s">
        <v>27</v>
      </c>
      <c r="P97" s="200">
        <v>2.17</v>
      </c>
      <c r="Q97" s="202">
        <v>2.23</v>
      </c>
      <c r="R97" s="154"/>
      <c r="S97" s="153"/>
      <c r="T97" s="153"/>
      <c r="U97" s="132" t="str">
        <f t="shared" si="2"/>
        <v/>
      </c>
      <c r="V97" s="152"/>
      <c r="W97" s="152"/>
      <c r="X97" s="153"/>
      <c r="Y97" s="226" t="str">
        <f>IF(Q97&lt;&gt;"",IF(Q97&lt;=1.2,IF(O97="A","CR",IF(V97&lt;&gt;"",IF(Parametre_2018!N$4=1,IF(LEFT(V97,1)="1",IF(V97&lt;&gt;"",IF(Parametre_2018!O$4&lt;&gt;"",IF(N97&lt;=Parametre_2018!O$4,IF(V97&lt;&gt;"",IF(Parametre_2018!P$4&lt;&gt;"",IF(O97&lt;=Parametre_2018!P$4,"PLD",""),"PLD"),""),""),IF(V97&lt;&gt;"",IF(Parametre_2018!P$4&lt;&gt;"",IF(O97&lt;=Parametre_2018!P$4,"PLD",""),"PLD"),"")),""),""),IF(V97&lt;&gt;"",IF(Parametre_2018!O$4&lt;&gt;"",IF(N97&lt;=Parametre_2018!O$4,IF(V97&lt;&gt;"",IF(Parametre_2018!P$4&lt;&gt;"",IF(O97&lt;=Parametre_2018!P$4,"PLD",""),"PLD"),""),""),IF(V97&lt;&gt;"",IF(Parametre_2018!P$4&lt;&gt;"",IF(O97&lt;=Parametre_2018!P$4,"PLD",""),"PLD"),"")),"")),"")),IF(V97&lt;&gt;"",IF(Parametre_2018!N$4=1,IF(LEFT(V97,1)="1",IF(V97&lt;&gt;"",IF(Parametre_2018!O$4&lt;&gt;"",IF(N97&lt;=Parametre_2018!O$4,IF(V97&lt;&gt;"",IF(Parametre_2018!P$4&lt;&gt;"",IF(O97&lt;=Parametre_2018!P$4,"PLD",""),"PLD"),""),""),IF(V97&lt;&gt;"",IF(Parametre_2018!P$4&lt;&gt;"",IF(O97&lt;=Parametre_2018!P$4,"PLD",""),"PLD"),"")),""),""),IF(V97&lt;&gt;"",IF(Parametre_2018!O$4&lt;&gt;"",IF(N97&lt;=Parametre_2018!O$4,IF(V97&lt;&gt;"",IF(Parametre_2018!P$4&lt;&gt;"",IF(O97&lt;=Parametre_2018!P$4,"PLD",""),"PLD"),""),""),IF(V97&lt;&gt;"",IF(Parametre_2018!P$4&lt;&gt;"",IF(O97&lt;=Parametre_2018!P$4,"PLD",""),"PLD"),"")),"")),"")),"")</f>
        <v/>
      </c>
      <c r="Z97" s="152"/>
      <c r="AA97" s="227"/>
      <c r="AB97" s="228" t="str">
        <f>IF(Q97&lt;&gt;"",IF(Q97&lt;=Parametre_2018!B$4,IF(Parametre_2018!C$4&lt;&gt;"",IF(N97&lt;=Parametre_2018!C$4,IF(Parametre_2018!D$4&lt;&gt;"",IF(O97&lt;=Parametre_2018!D$4,"MCL",IF(Parametre_2018!I$4&lt;&gt;"",IF(N97&lt;=Parametre_2018!I$4,IF(Parametre_2018!J$4&lt;&gt;"",IF(O97&lt;=Parametre_2018!J$4,"CL",""),"CL"),""),IF(Parametre_2018!J$4&lt;&gt;"",IF(O97&lt;=Parametre_2018!J$4,"CL",""),"CL"))),"MCL"),IF(Parametre_2018!I$4&lt;&gt;"",IF(N97&lt;=Parametre_2018!I$4,IF(Parametre_2018!J$4&lt;&gt;"",IF(O97&lt;=Parametre_2018!J$4,"CL",""),"CL"),""),IF(Parametre_2018!J$4&lt;&gt;"",IF(O97&lt;=Parametre_2018!J$4,"CL",""),"CL"))),IF(Parametre_2018!D$4&lt;&gt;"",IF(O97&lt;=Parametre_2018!D$4,"MCL",IF(Parametre_2018!I$4&lt;&gt;"",IF(N97&lt;=Parametre_2018!I$4,IF(Parametre_2018!J$4&lt;&gt;"",IF(O97&lt;=Parametre_2018!J$4,"CL",""),"CL"),""),IF(Parametre_2018!J$4&lt;&gt;"",IF(O97&lt;=Parametre_2018!J$4,"CL",""),"CL"))),"MCL")),IF(Q97&lt;&gt;"",IF(AND(Q97&gt;Parametre_2018!B$4,Q97&lt;=Parametre_2018!H$4),IF(Parametre_2018!I$4&lt;&gt;"",IF(N97&lt;=Parametre_2018!I$4,IF(Parametre_2018!J$4&lt;&gt;"",IF(O97&lt;=Parametre_2018!J$4,"CL",""),"CL"),""),IF(Parametre_2018!J$4&lt;&gt;"",IF(O97&lt;=Parametre_2018!J$4,"CL",""),"CL")),""),"")),"")</f>
        <v/>
      </c>
      <c r="AC97" s="153"/>
      <c r="AD97" s="74"/>
      <c r="AE97" s="153"/>
      <c r="AF97" s="153"/>
    </row>
    <row r="98" spans="1:32" ht="48.75" customHeight="1" x14ac:dyDescent="0.25">
      <c r="A98" s="152">
        <v>101</v>
      </c>
      <c r="B98" s="152" t="s">
        <v>62</v>
      </c>
      <c r="C98" s="183" t="s">
        <v>94</v>
      </c>
      <c r="D98" s="183" t="s">
        <v>451</v>
      </c>
      <c r="E98" s="184" t="s">
        <v>50</v>
      </c>
      <c r="F98" s="185" t="s">
        <v>471</v>
      </c>
      <c r="G98" s="186">
        <v>43263</v>
      </c>
      <c r="H98" s="187" t="s">
        <v>472</v>
      </c>
      <c r="I98" s="192" t="s">
        <v>94</v>
      </c>
      <c r="J98" s="194" t="s">
        <v>51</v>
      </c>
      <c r="K98" s="164" t="s">
        <v>287</v>
      </c>
      <c r="L98" s="161" t="s">
        <v>167</v>
      </c>
      <c r="M98" s="163" t="s">
        <v>136</v>
      </c>
      <c r="N98" s="178" t="s">
        <v>59</v>
      </c>
      <c r="O98" s="198" t="s">
        <v>27</v>
      </c>
      <c r="P98" s="200">
        <v>2.2000000000000002</v>
      </c>
      <c r="Q98" s="202">
        <v>2.23</v>
      </c>
      <c r="R98" s="213"/>
      <c r="S98" s="174"/>
      <c r="T98" s="174"/>
      <c r="U98" s="132" t="str">
        <f t="shared" si="2"/>
        <v/>
      </c>
      <c r="V98" s="152"/>
      <c r="W98" s="152"/>
      <c r="X98" s="155"/>
      <c r="Y98" s="226" t="str">
        <f>IF(Q98&lt;&gt;"",IF(Q98&lt;=1.2,IF(O98="A","CR",IF(V98&lt;&gt;"",IF(Parametre_2018!N$4=1,IF(LEFT(V98,1)="1",IF(V98&lt;&gt;"",IF(Parametre_2018!O$4&lt;&gt;"",IF(N98&lt;=Parametre_2018!O$4,IF(V98&lt;&gt;"",IF(Parametre_2018!P$4&lt;&gt;"",IF(O98&lt;=Parametre_2018!P$4,"PLD",""),"PLD"),""),""),IF(V98&lt;&gt;"",IF(Parametre_2018!P$4&lt;&gt;"",IF(O98&lt;=Parametre_2018!P$4,"PLD",""),"PLD"),"")),""),""),IF(V98&lt;&gt;"",IF(Parametre_2018!O$4&lt;&gt;"",IF(N98&lt;=Parametre_2018!O$4,IF(V98&lt;&gt;"",IF(Parametre_2018!P$4&lt;&gt;"",IF(O98&lt;=Parametre_2018!P$4,"PLD",""),"PLD"),""),""),IF(V98&lt;&gt;"",IF(Parametre_2018!P$4&lt;&gt;"",IF(O98&lt;=Parametre_2018!P$4,"PLD",""),"PLD"),"")),"")),"")),IF(V98&lt;&gt;"",IF(Parametre_2018!N$4=1,IF(LEFT(V98,1)="1",IF(V98&lt;&gt;"",IF(Parametre_2018!O$4&lt;&gt;"",IF(N98&lt;=Parametre_2018!O$4,IF(V98&lt;&gt;"",IF(Parametre_2018!P$4&lt;&gt;"",IF(O98&lt;=Parametre_2018!P$4,"PLD",""),"PLD"),""),""),IF(V98&lt;&gt;"",IF(Parametre_2018!P$4&lt;&gt;"",IF(O98&lt;=Parametre_2018!P$4,"PLD",""),"PLD"),"")),""),""),IF(V98&lt;&gt;"",IF(Parametre_2018!O$4&lt;&gt;"",IF(N98&lt;=Parametre_2018!O$4,IF(V98&lt;&gt;"",IF(Parametre_2018!P$4&lt;&gt;"",IF(O98&lt;=Parametre_2018!P$4,"PLD",""),"PLD"),""),""),IF(V98&lt;&gt;"",IF(Parametre_2018!P$4&lt;&gt;"",IF(O98&lt;=Parametre_2018!P$4,"PLD",""),"PLD"),"")),"")),"")),"")</f>
        <v/>
      </c>
      <c r="Z98" s="152"/>
      <c r="AA98" s="227"/>
      <c r="AB98" s="228" t="str">
        <f>IF(Q98&lt;&gt;"",IF(Q98&lt;=Parametre_2018!B$4,IF(Parametre_2018!C$4&lt;&gt;"",IF(N98&lt;=Parametre_2018!C$4,IF(Parametre_2018!D$4&lt;&gt;"",IF(O98&lt;=Parametre_2018!D$4,"MCL",IF(Parametre_2018!I$4&lt;&gt;"",IF(N98&lt;=Parametre_2018!I$4,IF(Parametre_2018!J$4&lt;&gt;"",IF(O98&lt;=Parametre_2018!J$4,"CL",""),"CL"),""),IF(Parametre_2018!J$4&lt;&gt;"",IF(O98&lt;=Parametre_2018!J$4,"CL",""),"CL"))),"MCL"),IF(Parametre_2018!I$4&lt;&gt;"",IF(N98&lt;=Parametre_2018!I$4,IF(Parametre_2018!J$4&lt;&gt;"",IF(O98&lt;=Parametre_2018!J$4,"CL",""),"CL"),""),IF(Parametre_2018!J$4&lt;&gt;"",IF(O98&lt;=Parametre_2018!J$4,"CL",""),"CL"))),IF(Parametre_2018!D$4&lt;&gt;"",IF(O98&lt;=Parametre_2018!D$4,"MCL",IF(Parametre_2018!I$4&lt;&gt;"",IF(N98&lt;=Parametre_2018!I$4,IF(Parametre_2018!J$4&lt;&gt;"",IF(O98&lt;=Parametre_2018!J$4,"CL",""),"CL"),""),IF(Parametre_2018!J$4&lt;&gt;"",IF(O98&lt;=Parametre_2018!J$4,"CL",""),"CL"))),"MCL")),IF(Q98&lt;&gt;"",IF(AND(Q98&gt;Parametre_2018!B$4,Q98&lt;=Parametre_2018!H$4),IF(Parametre_2018!I$4&lt;&gt;"",IF(N98&lt;=Parametre_2018!I$4,IF(Parametre_2018!J$4&lt;&gt;"",IF(O98&lt;=Parametre_2018!J$4,"CL",""),"CL"),""),IF(Parametre_2018!J$4&lt;&gt;"",IF(O98&lt;=Parametre_2018!J$4,"CL",""),"CL")),""),"")),"")</f>
        <v/>
      </c>
      <c r="AC98" s="155"/>
      <c r="AD98" s="74"/>
      <c r="AE98" s="155"/>
      <c r="AF98" s="175"/>
    </row>
    <row r="99" spans="1:32" ht="48.75" customHeight="1" x14ac:dyDescent="0.25">
      <c r="A99" s="152">
        <v>31</v>
      </c>
      <c r="B99" s="152" t="s">
        <v>62</v>
      </c>
      <c r="C99" s="183" t="s">
        <v>357</v>
      </c>
      <c r="D99" s="183" t="s">
        <v>57</v>
      </c>
      <c r="E99" s="184" t="s">
        <v>50</v>
      </c>
      <c r="F99" s="185" t="s">
        <v>470</v>
      </c>
      <c r="G99" s="195">
        <v>43262</v>
      </c>
      <c r="H99" s="187" t="s">
        <v>491</v>
      </c>
      <c r="I99" s="187" t="s">
        <v>44</v>
      </c>
      <c r="J99" s="155" t="s">
        <v>492</v>
      </c>
      <c r="K99" s="164" t="s">
        <v>217</v>
      </c>
      <c r="L99" s="161" t="s">
        <v>125</v>
      </c>
      <c r="M99" s="163" t="s">
        <v>179</v>
      </c>
      <c r="N99" s="178" t="s">
        <v>59</v>
      </c>
      <c r="O99" s="198" t="s">
        <v>27</v>
      </c>
      <c r="P99" s="200">
        <v>2.21</v>
      </c>
      <c r="Q99" s="202">
        <v>2.2599999999999998</v>
      </c>
      <c r="R99" s="207"/>
      <c r="S99" s="152"/>
      <c r="T99" s="152"/>
      <c r="U99" s="132" t="str">
        <f t="shared" si="2"/>
        <v/>
      </c>
      <c r="V99" s="152"/>
      <c r="W99" s="152"/>
      <c r="X99" s="152"/>
      <c r="Y99" s="226" t="str">
        <f>IF(Q99&lt;&gt;"",IF(Q99&lt;=1.2,IF(O99="A","CR",IF(V99&lt;&gt;"",IF(Parametre_2018!N$4=1,IF(LEFT(V99,1)="1",IF(V99&lt;&gt;"",IF(Parametre_2018!O$4&lt;&gt;"",IF(N99&lt;=Parametre_2018!O$4,IF(V99&lt;&gt;"",IF(Parametre_2018!P$4&lt;&gt;"",IF(O99&lt;=Parametre_2018!P$4,"PLD",""),"PLD"),""),""),IF(V99&lt;&gt;"",IF(Parametre_2018!P$4&lt;&gt;"",IF(O99&lt;=Parametre_2018!P$4,"PLD",""),"PLD"),"")),""),""),IF(V99&lt;&gt;"",IF(Parametre_2018!O$4&lt;&gt;"",IF(N99&lt;=Parametre_2018!O$4,IF(V99&lt;&gt;"",IF(Parametre_2018!P$4&lt;&gt;"",IF(O99&lt;=Parametre_2018!P$4,"PLD",""),"PLD"),""),""),IF(V99&lt;&gt;"",IF(Parametre_2018!P$4&lt;&gt;"",IF(O99&lt;=Parametre_2018!P$4,"PLD",""),"PLD"),"")),"")),"")),IF(V99&lt;&gt;"",IF(Parametre_2018!N$4=1,IF(LEFT(V99,1)="1",IF(V99&lt;&gt;"",IF(Parametre_2018!O$4&lt;&gt;"",IF(N99&lt;=Parametre_2018!O$4,IF(V99&lt;&gt;"",IF(Parametre_2018!P$4&lt;&gt;"",IF(O99&lt;=Parametre_2018!P$4,"PLD",""),"PLD"),""),""),IF(V99&lt;&gt;"",IF(Parametre_2018!P$4&lt;&gt;"",IF(O99&lt;=Parametre_2018!P$4,"PLD",""),"PLD"),"")),""),""),IF(V99&lt;&gt;"",IF(Parametre_2018!O$4&lt;&gt;"",IF(N99&lt;=Parametre_2018!O$4,IF(V99&lt;&gt;"",IF(Parametre_2018!P$4&lt;&gt;"",IF(O99&lt;=Parametre_2018!P$4,"PLD",""),"PLD"),""),""),IF(V99&lt;&gt;"",IF(Parametre_2018!P$4&lt;&gt;"",IF(O99&lt;=Parametre_2018!P$4,"PLD",""),"PLD"),"")),"")),"")),"")</f>
        <v/>
      </c>
      <c r="Z99" s="58"/>
      <c r="AA99" s="227"/>
      <c r="AB99" s="228" t="str">
        <f>IF(Q99&lt;&gt;"",IF(Q99&lt;=Parametre_2018!B$4,IF(Parametre_2018!C$4&lt;&gt;"",IF(N99&lt;=Parametre_2018!C$4,IF(Parametre_2018!D$4&lt;&gt;"",IF(O99&lt;=Parametre_2018!D$4,"MCL",IF(Parametre_2018!I$4&lt;&gt;"",IF(N99&lt;=Parametre_2018!I$4,IF(Parametre_2018!J$4&lt;&gt;"",IF(O99&lt;=Parametre_2018!J$4,"CL",""),"CL"),""),IF(Parametre_2018!J$4&lt;&gt;"",IF(O99&lt;=Parametre_2018!J$4,"CL",""),"CL"))),"MCL"),IF(Parametre_2018!I$4&lt;&gt;"",IF(N99&lt;=Parametre_2018!I$4,IF(Parametre_2018!J$4&lt;&gt;"",IF(O99&lt;=Parametre_2018!J$4,"CL",""),"CL"),""),IF(Parametre_2018!J$4&lt;&gt;"",IF(O99&lt;=Parametre_2018!J$4,"CL",""),"CL"))),IF(Parametre_2018!D$4&lt;&gt;"",IF(O99&lt;=Parametre_2018!D$4,"MCL",IF(Parametre_2018!I$4&lt;&gt;"",IF(N99&lt;=Parametre_2018!I$4,IF(Parametre_2018!J$4&lt;&gt;"",IF(O99&lt;=Parametre_2018!J$4,"CL",""),"CL"),""),IF(Parametre_2018!J$4&lt;&gt;"",IF(O99&lt;=Parametre_2018!J$4,"CL",""),"CL"))),"MCL")),IF(Q99&lt;&gt;"",IF(AND(Q99&gt;Parametre_2018!B$4,Q99&lt;=Parametre_2018!H$4),IF(Parametre_2018!I$4&lt;&gt;"",IF(N99&lt;=Parametre_2018!I$4,IF(Parametre_2018!J$4&lt;&gt;"",IF(O99&lt;=Parametre_2018!J$4,"CL",""),"CL"),""),IF(Parametre_2018!J$4&lt;&gt;"",IF(O99&lt;=Parametre_2018!J$4,"CL",""),"CL")),""),"")),"")</f>
        <v/>
      </c>
      <c r="AC99" s="89"/>
      <c r="AD99" s="74"/>
      <c r="AE99" s="54"/>
      <c r="AF99" s="54"/>
    </row>
    <row r="100" spans="1:32" ht="48.75" customHeight="1" x14ac:dyDescent="0.25">
      <c r="A100" s="152">
        <v>28</v>
      </c>
      <c r="B100" s="152" t="s">
        <v>62</v>
      </c>
      <c r="C100" s="183" t="s">
        <v>352</v>
      </c>
      <c r="D100" s="183" t="s">
        <v>353</v>
      </c>
      <c r="E100" s="184" t="s">
        <v>50</v>
      </c>
      <c r="F100" s="185" t="s">
        <v>471</v>
      </c>
      <c r="G100" s="186">
        <v>43263</v>
      </c>
      <c r="H100" s="187" t="s">
        <v>472</v>
      </c>
      <c r="I100" s="187" t="s">
        <v>94</v>
      </c>
      <c r="J100" s="193" t="s">
        <v>51</v>
      </c>
      <c r="K100" s="164" t="s">
        <v>214</v>
      </c>
      <c r="L100" s="161" t="s">
        <v>133</v>
      </c>
      <c r="M100" s="163" t="s">
        <v>117</v>
      </c>
      <c r="N100" s="178" t="s">
        <v>59</v>
      </c>
      <c r="O100" s="198" t="s">
        <v>59</v>
      </c>
      <c r="P100" s="200">
        <v>2.4</v>
      </c>
      <c r="Q100" s="202">
        <v>2.31</v>
      </c>
      <c r="R100" s="207"/>
      <c r="S100" s="152"/>
      <c r="T100" s="152"/>
      <c r="U100" s="132" t="str">
        <f t="shared" ref="U100:U121" si="3">IF(OR(V100&lt;&gt;"",Y100&lt;&gt;"",AB100&lt;&gt;""),"Navrh","")</f>
        <v/>
      </c>
      <c r="V100" s="55"/>
      <c r="W100" s="55"/>
      <c r="X100" s="58"/>
      <c r="Y100" s="226" t="str">
        <f>IF(Q100&lt;&gt;"",IF(Q100&lt;=1.2,IF(O100="A","CR",IF(V100&lt;&gt;"",IF(Parametre_2018!N$4=1,IF(LEFT(V100,1)="1",IF(V100&lt;&gt;"",IF(Parametre_2018!O$4&lt;&gt;"",IF(N100&lt;=Parametre_2018!O$4,IF(V100&lt;&gt;"",IF(Parametre_2018!P$4&lt;&gt;"",IF(O100&lt;=Parametre_2018!P$4,"PLD",""),"PLD"),""),""),IF(V100&lt;&gt;"",IF(Parametre_2018!P$4&lt;&gt;"",IF(O100&lt;=Parametre_2018!P$4,"PLD",""),"PLD"),"")),""),""),IF(V100&lt;&gt;"",IF(Parametre_2018!O$4&lt;&gt;"",IF(N100&lt;=Parametre_2018!O$4,IF(V100&lt;&gt;"",IF(Parametre_2018!P$4&lt;&gt;"",IF(O100&lt;=Parametre_2018!P$4,"PLD",""),"PLD"),""),""),IF(V100&lt;&gt;"",IF(Parametre_2018!P$4&lt;&gt;"",IF(O100&lt;=Parametre_2018!P$4,"PLD",""),"PLD"),"")),"")),"")),IF(V100&lt;&gt;"",IF(Parametre_2018!N$4=1,IF(LEFT(V100,1)="1",IF(V100&lt;&gt;"",IF(Parametre_2018!O$4&lt;&gt;"",IF(N100&lt;=Parametre_2018!O$4,IF(V100&lt;&gt;"",IF(Parametre_2018!P$4&lt;&gt;"",IF(O100&lt;=Parametre_2018!P$4,"PLD",""),"PLD"),""),""),IF(V100&lt;&gt;"",IF(Parametre_2018!P$4&lt;&gt;"",IF(O100&lt;=Parametre_2018!P$4,"PLD",""),"PLD"),"")),""),""),IF(V100&lt;&gt;"",IF(Parametre_2018!O$4&lt;&gt;"",IF(N100&lt;=Parametre_2018!O$4,IF(V100&lt;&gt;"",IF(Parametre_2018!P$4&lt;&gt;"",IF(O100&lt;=Parametre_2018!P$4,"PLD",""),"PLD"),""),""),IF(V100&lt;&gt;"",IF(Parametre_2018!P$4&lt;&gt;"",IF(O100&lt;=Parametre_2018!P$4,"PLD",""),"PLD"),"")),"")),"")),"")</f>
        <v/>
      </c>
      <c r="Z100" s="58"/>
      <c r="AA100" s="227"/>
      <c r="AB100" s="228" t="str">
        <f>IF(Q100&lt;&gt;"",IF(Q100&lt;=Parametre_2018!B$4,IF(Parametre_2018!C$4&lt;&gt;"",IF(N100&lt;=Parametre_2018!C$4,IF(Parametre_2018!D$4&lt;&gt;"",IF(O100&lt;=Parametre_2018!D$4,"MCL",IF(Parametre_2018!I$4&lt;&gt;"",IF(N100&lt;=Parametre_2018!I$4,IF(Parametre_2018!J$4&lt;&gt;"",IF(O100&lt;=Parametre_2018!J$4,"CL",""),"CL"),""),IF(Parametre_2018!J$4&lt;&gt;"",IF(O100&lt;=Parametre_2018!J$4,"CL",""),"CL"))),"MCL"),IF(Parametre_2018!I$4&lt;&gt;"",IF(N100&lt;=Parametre_2018!I$4,IF(Parametre_2018!J$4&lt;&gt;"",IF(O100&lt;=Parametre_2018!J$4,"CL",""),"CL"),""),IF(Parametre_2018!J$4&lt;&gt;"",IF(O100&lt;=Parametre_2018!J$4,"CL",""),"CL"))),IF(Parametre_2018!D$4&lt;&gt;"",IF(O100&lt;=Parametre_2018!D$4,"MCL",IF(Parametre_2018!I$4&lt;&gt;"",IF(N100&lt;=Parametre_2018!I$4,IF(Parametre_2018!J$4&lt;&gt;"",IF(O100&lt;=Parametre_2018!J$4,"CL",""),"CL"),""),IF(Parametre_2018!J$4&lt;&gt;"",IF(O100&lt;=Parametre_2018!J$4,"CL",""),"CL"))),"MCL")),IF(Q100&lt;&gt;"",IF(AND(Q100&gt;Parametre_2018!B$4,Q100&lt;=Parametre_2018!H$4),IF(Parametre_2018!I$4&lt;&gt;"",IF(N100&lt;=Parametre_2018!I$4,IF(Parametre_2018!J$4&lt;&gt;"",IF(O100&lt;=Parametre_2018!J$4,"CL",""),"CL"),""),IF(Parametre_2018!J$4&lt;&gt;"",IF(O100&lt;=Parametre_2018!J$4,"CL",""),"CL")),""),"")),"")</f>
        <v/>
      </c>
      <c r="AC100" s="89"/>
      <c r="AD100" s="74"/>
      <c r="AE100" s="77"/>
      <c r="AF100" s="54"/>
    </row>
    <row r="101" spans="1:32" ht="48.75" customHeight="1" x14ac:dyDescent="0.25">
      <c r="A101" s="152">
        <v>84</v>
      </c>
      <c r="B101" s="176"/>
      <c r="C101" s="183" t="s">
        <v>429</v>
      </c>
      <c r="D101" s="183" t="s">
        <v>430</v>
      </c>
      <c r="E101" s="184" t="s">
        <v>50</v>
      </c>
      <c r="F101" s="185" t="s">
        <v>470</v>
      </c>
      <c r="G101" s="195">
        <v>43262</v>
      </c>
      <c r="H101" s="192" t="s">
        <v>502</v>
      </c>
      <c r="I101" s="192" t="s">
        <v>485</v>
      </c>
      <c r="J101" s="194" t="s">
        <v>503</v>
      </c>
      <c r="K101" s="164" t="s">
        <v>270</v>
      </c>
      <c r="L101" s="161" t="s">
        <v>48</v>
      </c>
      <c r="M101" s="163" t="s">
        <v>148</v>
      </c>
      <c r="N101" s="178" t="s">
        <v>27</v>
      </c>
      <c r="O101" s="198" t="s">
        <v>25</v>
      </c>
      <c r="P101" s="200">
        <v>2.08</v>
      </c>
      <c r="Q101" s="205">
        <v>2.31</v>
      </c>
      <c r="R101" s="213"/>
      <c r="S101" s="174"/>
      <c r="T101" s="174"/>
      <c r="U101" s="132" t="str">
        <f t="shared" si="3"/>
        <v/>
      </c>
      <c r="V101" s="152"/>
      <c r="W101" s="152"/>
      <c r="X101" s="155"/>
      <c r="Y101" s="226" t="str">
        <f>IF(Q101&lt;&gt;"",IF(Q101&lt;=1.2,IF(O101="A","CR",IF(V101&lt;&gt;"",IF(Parametre_2018!N$4=1,IF(LEFT(V101,1)="1",IF(V101&lt;&gt;"",IF(Parametre_2018!O$4&lt;&gt;"",IF(N101&lt;=Parametre_2018!O$4,IF(V101&lt;&gt;"",IF(Parametre_2018!P$4&lt;&gt;"",IF(O101&lt;=Parametre_2018!P$4,"PLD",""),"PLD"),""),""),IF(V101&lt;&gt;"",IF(Parametre_2018!P$4&lt;&gt;"",IF(O101&lt;=Parametre_2018!P$4,"PLD",""),"PLD"),"")),""),""),IF(V101&lt;&gt;"",IF(Parametre_2018!O$4&lt;&gt;"",IF(N101&lt;=Parametre_2018!O$4,IF(V101&lt;&gt;"",IF(Parametre_2018!P$4&lt;&gt;"",IF(O101&lt;=Parametre_2018!P$4,"PLD",""),"PLD"),""),""),IF(V101&lt;&gt;"",IF(Parametre_2018!P$4&lt;&gt;"",IF(O101&lt;=Parametre_2018!P$4,"PLD",""),"PLD"),"")),"")),"")),IF(V101&lt;&gt;"",IF(Parametre_2018!N$4=1,IF(LEFT(V101,1)="1",IF(V101&lt;&gt;"",IF(Parametre_2018!O$4&lt;&gt;"",IF(N101&lt;=Parametre_2018!O$4,IF(V101&lt;&gt;"",IF(Parametre_2018!P$4&lt;&gt;"",IF(O101&lt;=Parametre_2018!P$4,"PLD",""),"PLD"),""),""),IF(V101&lt;&gt;"",IF(Parametre_2018!P$4&lt;&gt;"",IF(O101&lt;=Parametre_2018!P$4,"PLD",""),"PLD"),"")),""),""),IF(V101&lt;&gt;"",IF(Parametre_2018!O$4&lt;&gt;"",IF(N101&lt;=Parametre_2018!O$4,IF(V101&lt;&gt;"",IF(Parametre_2018!P$4&lt;&gt;"",IF(O101&lt;=Parametre_2018!P$4,"PLD",""),"PLD"),""),""),IF(V101&lt;&gt;"",IF(Parametre_2018!P$4&lt;&gt;"",IF(O101&lt;=Parametre_2018!P$4,"PLD",""),"PLD"),"")),"")),"")),"")</f>
        <v/>
      </c>
      <c r="Z101" s="152"/>
      <c r="AA101" s="227"/>
      <c r="AB101" s="228" t="str">
        <f>IF(Q101&lt;&gt;"",IF(Q101&lt;=Parametre_2018!B$4,IF(Parametre_2018!C$4&lt;&gt;"",IF(N101&lt;=Parametre_2018!C$4,IF(Parametre_2018!D$4&lt;&gt;"",IF(O101&lt;=Parametre_2018!D$4,"MCL",IF(Parametre_2018!I$4&lt;&gt;"",IF(N101&lt;=Parametre_2018!I$4,IF(Parametre_2018!J$4&lt;&gt;"",IF(O101&lt;=Parametre_2018!J$4,"CL",""),"CL"),""),IF(Parametre_2018!J$4&lt;&gt;"",IF(O101&lt;=Parametre_2018!J$4,"CL",""),"CL"))),"MCL"),IF(Parametre_2018!I$4&lt;&gt;"",IF(N101&lt;=Parametre_2018!I$4,IF(Parametre_2018!J$4&lt;&gt;"",IF(O101&lt;=Parametre_2018!J$4,"CL",""),"CL"),""),IF(Parametre_2018!J$4&lt;&gt;"",IF(O101&lt;=Parametre_2018!J$4,"CL",""),"CL"))),IF(Parametre_2018!D$4&lt;&gt;"",IF(O101&lt;=Parametre_2018!D$4,"MCL",IF(Parametre_2018!I$4&lt;&gt;"",IF(N101&lt;=Parametre_2018!I$4,IF(Parametre_2018!J$4&lt;&gt;"",IF(O101&lt;=Parametre_2018!J$4,"CL",""),"CL"),""),IF(Parametre_2018!J$4&lt;&gt;"",IF(O101&lt;=Parametre_2018!J$4,"CL",""),"CL"))),"MCL")),IF(Q101&lt;&gt;"",IF(AND(Q101&gt;Parametre_2018!B$4,Q101&lt;=Parametre_2018!H$4),IF(Parametre_2018!I$4&lt;&gt;"",IF(N101&lt;=Parametre_2018!I$4,IF(Parametre_2018!J$4&lt;&gt;"",IF(O101&lt;=Parametre_2018!J$4,"CL",""),"CL"),""),IF(Parametre_2018!J$4&lt;&gt;"",IF(O101&lt;=Parametre_2018!J$4,"CL",""),"CL")),""),"")),"")</f>
        <v/>
      </c>
      <c r="AC101" s="155"/>
      <c r="AD101" s="74"/>
      <c r="AE101" s="155"/>
      <c r="AF101" s="175"/>
    </row>
    <row r="102" spans="1:32" ht="48.75" customHeight="1" x14ac:dyDescent="0.25">
      <c r="A102" s="152">
        <v>106</v>
      </c>
      <c r="B102" s="152" t="s">
        <v>62</v>
      </c>
      <c r="C102" s="183" t="s">
        <v>96</v>
      </c>
      <c r="D102" s="183" t="s">
        <v>373</v>
      </c>
      <c r="E102" s="184" t="s">
        <v>50</v>
      </c>
      <c r="F102" s="185" t="s">
        <v>470</v>
      </c>
      <c r="G102" s="195">
        <v>43262</v>
      </c>
      <c r="H102" s="187" t="s">
        <v>495</v>
      </c>
      <c r="I102" s="192" t="s">
        <v>496</v>
      </c>
      <c r="J102" s="194" t="s">
        <v>497</v>
      </c>
      <c r="K102" s="164" t="s">
        <v>292</v>
      </c>
      <c r="L102" s="161" t="s">
        <v>160</v>
      </c>
      <c r="M102" s="163" t="s">
        <v>185</v>
      </c>
      <c r="N102" s="178" t="s">
        <v>27</v>
      </c>
      <c r="O102" s="198" t="s">
        <v>27</v>
      </c>
      <c r="P102" s="200">
        <v>2.39</v>
      </c>
      <c r="Q102" s="202">
        <v>2.4</v>
      </c>
      <c r="R102" s="213"/>
      <c r="S102" s="222"/>
      <c r="T102" s="222" t="s">
        <v>62</v>
      </c>
      <c r="U102" s="132" t="str">
        <f t="shared" si="3"/>
        <v/>
      </c>
      <c r="V102" s="152"/>
      <c r="W102" s="152"/>
      <c r="X102" s="155"/>
      <c r="Y102" s="226" t="str">
        <f>IF(Q102&lt;&gt;"",IF(Q102&lt;=1.2,IF(O102="A","CR",IF(V102&lt;&gt;"",IF(Parametre_2018!N$4=1,IF(LEFT(V102,1)="1",IF(V102&lt;&gt;"",IF(Parametre_2018!O$4&lt;&gt;"",IF(N102&lt;=Parametre_2018!O$4,IF(V102&lt;&gt;"",IF(Parametre_2018!P$4&lt;&gt;"",IF(O102&lt;=Parametre_2018!P$4,"PLD",""),"PLD"),""),""),IF(V102&lt;&gt;"",IF(Parametre_2018!P$4&lt;&gt;"",IF(O102&lt;=Parametre_2018!P$4,"PLD",""),"PLD"),"")),""),""),IF(V102&lt;&gt;"",IF(Parametre_2018!O$4&lt;&gt;"",IF(N102&lt;=Parametre_2018!O$4,IF(V102&lt;&gt;"",IF(Parametre_2018!P$4&lt;&gt;"",IF(O102&lt;=Parametre_2018!P$4,"PLD",""),"PLD"),""),""),IF(V102&lt;&gt;"",IF(Parametre_2018!P$4&lt;&gt;"",IF(O102&lt;=Parametre_2018!P$4,"PLD",""),"PLD"),"")),"")),"")),IF(V102&lt;&gt;"",IF(Parametre_2018!N$4=1,IF(LEFT(V102,1)="1",IF(V102&lt;&gt;"",IF(Parametre_2018!O$4&lt;&gt;"",IF(N102&lt;=Parametre_2018!O$4,IF(V102&lt;&gt;"",IF(Parametre_2018!P$4&lt;&gt;"",IF(O102&lt;=Parametre_2018!P$4,"PLD",""),"PLD"),""),""),IF(V102&lt;&gt;"",IF(Parametre_2018!P$4&lt;&gt;"",IF(O102&lt;=Parametre_2018!P$4,"PLD",""),"PLD"),"")),""),""),IF(V102&lt;&gt;"",IF(Parametre_2018!O$4&lt;&gt;"",IF(N102&lt;=Parametre_2018!O$4,IF(V102&lt;&gt;"",IF(Parametre_2018!P$4&lt;&gt;"",IF(O102&lt;=Parametre_2018!P$4,"PLD",""),"PLD"),""),""),IF(V102&lt;&gt;"",IF(Parametre_2018!P$4&lt;&gt;"",IF(O102&lt;=Parametre_2018!P$4,"PLD",""),"PLD"),"")),"")),"")),"")</f>
        <v/>
      </c>
      <c r="Z102" s="152"/>
      <c r="AA102" s="227"/>
      <c r="AB102" s="228" t="str">
        <f>IF(Q102&lt;&gt;"",IF(Q102&lt;=Parametre_2018!B$4,IF(Parametre_2018!C$4&lt;&gt;"",IF(N102&lt;=Parametre_2018!C$4,IF(Parametre_2018!D$4&lt;&gt;"",IF(O102&lt;=Parametre_2018!D$4,"MCL",IF(Parametre_2018!I$4&lt;&gt;"",IF(N102&lt;=Parametre_2018!I$4,IF(Parametre_2018!J$4&lt;&gt;"",IF(O102&lt;=Parametre_2018!J$4,"CL",""),"CL"),""),IF(Parametre_2018!J$4&lt;&gt;"",IF(O102&lt;=Parametre_2018!J$4,"CL",""),"CL"))),"MCL"),IF(Parametre_2018!I$4&lt;&gt;"",IF(N102&lt;=Parametre_2018!I$4,IF(Parametre_2018!J$4&lt;&gt;"",IF(O102&lt;=Parametre_2018!J$4,"CL",""),"CL"),""),IF(Parametre_2018!J$4&lt;&gt;"",IF(O102&lt;=Parametre_2018!J$4,"CL",""),"CL"))),IF(Parametre_2018!D$4&lt;&gt;"",IF(O102&lt;=Parametre_2018!D$4,"MCL",IF(Parametre_2018!I$4&lt;&gt;"",IF(N102&lt;=Parametre_2018!I$4,IF(Parametre_2018!J$4&lt;&gt;"",IF(O102&lt;=Parametre_2018!J$4,"CL",""),"CL"),""),IF(Parametre_2018!J$4&lt;&gt;"",IF(O102&lt;=Parametre_2018!J$4,"CL",""),"CL"))),"MCL")),IF(Q102&lt;&gt;"",IF(AND(Q102&gt;Parametre_2018!B$4,Q102&lt;=Parametre_2018!H$4),IF(Parametre_2018!I$4&lt;&gt;"",IF(N102&lt;=Parametre_2018!I$4,IF(Parametre_2018!J$4&lt;&gt;"",IF(O102&lt;=Parametre_2018!J$4,"CL",""),"CL"),""),IF(Parametre_2018!J$4&lt;&gt;"",IF(O102&lt;=Parametre_2018!J$4,"CL",""),"CL")),""),"")),"")</f>
        <v/>
      </c>
      <c r="AC102" s="155"/>
      <c r="AD102" s="74"/>
      <c r="AE102" s="155"/>
      <c r="AF102" s="175"/>
    </row>
    <row r="103" spans="1:32" ht="48.75" customHeight="1" x14ac:dyDescent="0.25">
      <c r="A103" s="152">
        <v>23</v>
      </c>
      <c r="B103" s="152" t="s">
        <v>62</v>
      </c>
      <c r="C103" s="183" t="s">
        <v>342</v>
      </c>
      <c r="D103" s="183" t="s">
        <v>343</v>
      </c>
      <c r="E103" s="184" t="s">
        <v>50</v>
      </c>
      <c r="F103" s="185" t="s">
        <v>470</v>
      </c>
      <c r="G103" s="186">
        <v>43263</v>
      </c>
      <c r="H103" s="190" t="s">
        <v>473</v>
      </c>
      <c r="I103" s="190" t="s">
        <v>18</v>
      </c>
      <c r="J103" s="154" t="s">
        <v>43</v>
      </c>
      <c r="K103" s="164" t="s">
        <v>209</v>
      </c>
      <c r="L103" s="161" t="s">
        <v>116</v>
      </c>
      <c r="M103" s="163" t="s">
        <v>126</v>
      </c>
      <c r="N103" s="178" t="s">
        <v>25</v>
      </c>
      <c r="O103" s="198" t="s">
        <v>25</v>
      </c>
      <c r="P103" s="200">
        <v>2.2999999999999998</v>
      </c>
      <c r="Q103" s="202">
        <v>2.42</v>
      </c>
      <c r="R103" s="152"/>
      <c r="S103" s="152"/>
      <c r="T103" s="152"/>
      <c r="U103" s="132" t="str">
        <f t="shared" si="3"/>
        <v/>
      </c>
      <c r="V103" s="55"/>
      <c r="W103" s="55"/>
      <c r="X103" s="58"/>
      <c r="Y103" s="226" t="str">
        <f>IF(Q103&lt;&gt;"",IF(Q103&lt;=1.2,IF(O103="A","CR",IF(V103&lt;&gt;"",IF(Parametre_2018!N$4=1,IF(LEFT(V103,1)="1",IF(V103&lt;&gt;"",IF(Parametre_2018!O$4&lt;&gt;"",IF(N103&lt;=Parametre_2018!O$4,IF(V103&lt;&gt;"",IF(Parametre_2018!P$4&lt;&gt;"",IF(O103&lt;=Parametre_2018!P$4,"PLD",""),"PLD"),""),""),IF(V103&lt;&gt;"",IF(Parametre_2018!P$4&lt;&gt;"",IF(O103&lt;=Parametre_2018!P$4,"PLD",""),"PLD"),"")),""),""),IF(V103&lt;&gt;"",IF(Parametre_2018!O$4&lt;&gt;"",IF(N103&lt;=Parametre_2018!O$4,IF(V103&lt;&gt;"",IF(Parametre_2018!P$4&lt;&gt;"",IF(O103&lt;=Parametre_2018!P$4,"PLD",""),"PLD"),""),""),IF(V103&lt;&gt;"",IF(Parametre_2018!P$4&lt;&gt;"",IF(O103&lt;=Parametre_2018!P$4,"PLD",""),"PLD"),"")),"")),"")),IF(V103&lt;&gt;"",IF(Parametre_2018!N$4=1,IF(LEFT(V103,1)="1",IF(V103&lt;&gt;"",IF(Parametre_2018!O$4&lt;&gt;"",IF(N103&lt;=Parametre_2018!O$4,IF(V103&lt;&gt;"",IF(Parametre_2018!P$4&lt;&gt;"",IF(O103&lt;=Parametre_2018!P$4,"PLD",""),"PLD"),""),""),IF(V103&lt;&gt;"",IF(Parametre_2018!P$4&lt;&gt;"",IF(O103&lt;=Parametre_2018!P$4,"PLD",""),"PLD"),"")),""),""),IF(V103&lt;&gt;"",IF(Parametre_2018!O$4&lt;&gt;"",IF(N103&lt;=Parametre_2018!O$4,IF(V103&lt;&gt;"",IF(Parametre_2018!P$4&lt;&gt;"",IF(O103&lt;=Parametre_2018!P$4,"PLD",""),"PLD"),""),""),IF(V103&lt;&gt;"",IF(Parametre_2018!P$4&lt;&gt;"",IF(O103&lt;=Parametre_2018!P$4,"PLD",""),"PLD"),"")),"")),"")),"")</f>
        <v/>
      </c>
      <c r="Z103" s="58"/>
      <c r="AA103" s="227"/>
      <c r="AB103" s="228" t="str">
        <f>IF(Q103&lt;&gt;"",IF(Q103&lt;=Parametre_2018!B$4,IF(Parametre_2018!C$4&lt;&gt;"",IF(N103&lt;=Parametre_2018!C$4,IF(Parametre_2018!D$4&lt;&gt;"",IF(O103&lt;=Parametre_2018!D$4,"MCL",IF(Parametre_2018!I$4&lt;&gt;"",IF(N103&lt;=Parametre_2018!I$4,IF(Parametre_2018!J$4&lt;&gt;"",IF(O103&lt;=Parametre_2018!J$4,"CL",""),"CL"),""),IF(Parametre_2018!J$4&lt;&gt;"",IF(O103&lt;=Parametre_2018!J$4,"CL",""),"CL"))),"MCL"),IF(Parametre_2018!I$4&lt;&gt;"",IF(N103&lt;=Parametre_2018!I$4,IF(Parametre_2018!J$4&lt;&gt;"",IF(O103&lt;=Parametre_2018!J$4,"CL",""),"CL"),""),IF(Parametre_2018!J$4&lt;&gt;"",IF(O103&lt;=Parametre_2018!J$4,"CL",""),"CL"))),IF(Parametre_2018!D$4&lt;&gt;"",IF(O103&lt;=Parametre_2018!D$4,"MCL",IF(Parametre_2018!I$4&lt;&gt;"",IF(N103&lt;=Parametre_2018!I$4,IF(Parametre_2018!J$4&lt;&gt;"",IF(O103&lt;=Parametre_2018!J$4,"CL",""),"CL"),""),IF(Parametre_2018!J$4&lt;&gt;"",IF(O103&lt;=Parametre_2018!J$4,"CL",""),"CL"))),"MCL")),IF(Q103&lt;&gt;"",IF(AND(Q103&gt;Parametre_2018!B$4,Q103&lt;=Parametre_2018!H$4),IF(Parametre_2018!I$4&lt;&gt;"",IF(N103&lt;=Parametre_2018!I$4,IF(Parametre_2018!J$4&lt;&gt;"",IF(O103&lt;=Parametre_2018!J$4,"CL",""),"CL"),""),IF(Parametre_2018!J$4&lt;&gt;"",IF(O103&lt;=Parametre_2018!J$4,"CL",""),"CL")),""),"")),"")</f>
        <v/>
      </c>
      <c r="AC103" s="89"/>
      <c r="AD103" s="74"/>
      <c r="AE103" s="77"/>
      <c r="AF103" s="54"/>
    </row>
    <row r="104" spans="1:32" ht="48.75" customHeight="1" x14ac:dyDescent="0.25">
      <c r="A104" s="152">
        <v>62</v>
      </c>
      <c r="B104" s="152" t="s">
        <v>62</v>
      </c>
      <c r="C104" s="183" t="s">
        <v>399</v>
      </c>
      <c r="D104" s="183" t="s">
        <v>400</v>
      </c>
      <c r="E104" s="184" t="s">
        <v>50</v>
      </c>
      <c r="F104" s="185" t="s">
        <v>471</v>
      </c>
      <c r="G104" s="186">
        <v>43263</v>
      </c>
      <c r="H104" s="187" t="s">
        <v>481</v>
      </c>
      <c r="I104" s="192" t="s">
        <v>482</v>
      </c>
      <c r="J104" s="194" t="s">
        <v>483</v>
      </c>
      <c r="K104" s="164" t="s">
        <v>248</v>
      </c>
      <c r="L104" s="161" t="s">
        <v>153</v>
      </c>
      <c r="M104" s="163" t="s">
        <v>123</v>
      </c>
      <c r="N104" s="178" t="s">
        <v>59</v>
      </c>
      <c r="O104" s="198" t="s">
        <v>27</v>
      </c>
      <c r="P104" s="200">
        <v>2.39</v>
      </c>
      <c r="Q104" s="202">
        <v>2.42</v>
      </c>
      <c r="R104" s="211"/>
      <c r="S104" s="171"/>
      <c r="T104" s="171"/>
      <c r="U104" s="132" t="str">
        <f t="shared" si="3"/>
        <v/>
      </c>
      <c r="V104" s="224"/>
      <c r="W104" s="224"/>
      <c r="X104" s="171"/>
      <c r="Y104" s="226" t="str">
        <f>IF(Q104&lt;&gt;"",IF(Q104&lt;=1.2,IF(O104="A","CR",IF(V104&lt;&gt;"",IF(Parametre_2018!N$4=1,IF(LEFT(V104,1)="1",IF(V104&lt;&gt;"",IF(Parametre_2018!O$4&lt;&gt;"",IF(N104&lt;=Parametre_2018!O$4,IF(V104&lt;&gt;"",IF(Parametre_2018!P$4&lt;&gt;"",IF(O104&lt;=Parametre_2018!P$4,"PLD",""),"PLD"),""),""),IF(V104&lt;&gt;"",IF(Parametre_2018!P$4&lt;&gt;"",IF(O104&lt;=Parametre_2018!P$4,"PLD",""),"PLD"),"")),""),""),IF(V104&lt;&gt;"",IF(Parametre_2018!O$4&lt;&gt;"",IF(N104&lt;=Parametre_2018!O$4,IF(V104&lt;&gt;"",IF(Parametre_2018!P$4&lt;&gt;"",IF(O104&lt;=Parametre_2018!P$4,"PLD",""),"PLD"),""),""),IF(V104&lt;&gt;"",IF(Parametre_2018!P$4&lt;&gt;"",IF(O104&lt;=Parametre_2018!P$4,"PLD",""),"PLD"),"")),"")),"")),IF(V104&lt;&gt;"",IF(Parametre_2018!N$4=1,IF(LEFT(V104,1)="1",IF(V104&lt;&gt;"",IF(Parametre_2018!O$4&lt;&gt;"",IF(N104&lt;=Parametre_2018!O$4,IF(V104&lt;&gt;"",IF(Parametre_2018!P$4&lt;&gt;"",IF(O104&lt;=Parametre_2018!P$4,"PLD",""),"PLD"),""),""),IF(V104&lt;&gt;"",IF(Parametre_2018!P$4&lt;&gt;"",IF(O104&lt;=Parametre_2018!P$4,"PLD",""),"PLD"),"")),""),""),IF(V104&lt;&gt;"",IF(Parametre_2018!O$4&lt;&gt;"",IF(N104&lt;=Parametre_2018!O$4,IF(V104&lt;&gt;"",IF(Parametre_2018!P$4&lt;&gt;"",IF(O104&lt;=Parametre_2018!P$4,"PLD",""),"PLD"),""),""),IF(V104&lt;&gt;"",IF(Parametre_2018!P$4&lt;&gt;"",IF(O104&lt;=Parametre_2018!P$4,"PLD",""),"PLD"),"")),"")),"")),"")</f>
        <v/>
      </c>
      <c r="Z104" s="224"/>
      <c r="AA104" s="227"/>
      <c r="AB104" s="228" t="str">
        <f>IF(Q104&lt;&gt;"",IF(Q104&lt;=Parametre_2018!B$4,IF(Parametre_2018!C$4&lt;&gt;"",IF(N104&lt;=Parametre_2018!C$4,IF(Parametre_2018!D$4&lt;&gt;"",IF(O104&lt;=Parametre_2018!D$4,"MCL",IF(Parametre_2018!I$4&lt;&gt;"",IF(N104&lt;=Parametre_2018!I$4,IF(Parametre_2018!J$4&lt;&gt;"",IF(O104&lt;=Parametre_2018!J$4,"CL",""),"CL"),""),IF(Parametre_2018!J$4&lt;&gt;"",IF(O104&lt;=Parametre_2018!J$4,"CL",""),"CL"))),"MCL"),IF(Parametre_2018!I$4&lt;&gt;"",IF(N104&lt;=Parametre_2018!I$4,IF(Parametre_2018!J$4&lt;&gt;"",IF(O104&lt;=Parametre_2018!J$4,"CL",""),"CL"),""),IF(Parametre_2018!J$4&lt;&gt;"",IF(O104&lt;=Parametre_2018!J$4,"CL",""),"CL"))),IF(Parametre_2018!D$4&lt;&gt;"",IF(O104&lt;=Parametre_2018!D$4,"MCL",IF(Parametre_2018!I$4&lt;&gt;"",IF(N104&lt;=Parametre_2018!I$4,IF(Parametre_2018!J$4&lt;&gt;"",IF(O104&lt;=Parametre_2018!J$4,"CL",""),"CL"),""),IF(Parametre_2018!J$4&lt;&gt;"",IF(O104&lt;=Parametre_2018!J$4,"CL",""),"CL"))),"MCL")),IF(Q104&lt;&gt;"",IF(AND(Q104&gt;Parametre_2018!B$4,Q104&lt;=Parametre_2018!H$4),IF(Parametre_2018!I$4&lt;&gt;"",IF(N104&lt;=Parametre_2018!I$4,IF(Parametre_2018!J$4&lt;&gt;"",IF(O104&lt;=Parametre_2018!J$4,"CL",""),"CL"),""),IF(Parametre_2018!J$4&lt;&gt;"",IF(O104&lt;=Parametre_2018!J$4,"CL",""),"CL")),""),"")),"")</f>
        <v/>
      </c>
      <c r="AC104" s="171"/>
      <c r="AD104" s="74"/>
      <c r="AE104" s="171"/>
      <c r="AF104" s="171"/>
    </row>
    <row r="105" spans="1:32" ht="48.75" customHeight="1" x14ac:dyDescent="0.25">
      <c r="A105" s="152">
        <v>60</v>
      </c>
      <c r="B105" s="152" t="s">
        <v>62</v>
      </c>
      <c r="C105" s="183" t="s">
        <v>397</v>
      </c>
      <c r="D105" s="183" t="s">
        <v>311</v>
      </c>
      <c r="E105" s="184" t="s">
        <v>50</v>
      </c>
      <c r="F105" s="185" t="s">
        <v>471</v>
      </c>
      <c r="G105" s="186">
        <v>43263</v>
      </c>
      <c r="H105" s="188" t="s">
        <v>479</v>
      </c>
      <c r="I105" s="234" t="s">
        <v>480</v>
      </c>
      <c r="J105" s="219" t="s">
        <v>42</v>
      </c>
      <c r="K105" s="164" t="s">
        <v>246</v>
      </c>
      <c r="L105" s="161" t="s">
        <v>127</v>
      </c>
      <c r="M105" s="163" t="s">
        <v>165</v>
      </c>
      <c r="N105" s="181" t="s">
        <v>27</v>
      </c>
      <c r="O105" s="198" t="s">
        <v>59</v>
      </c>
      <c r="P105" s="200">
        <v>2.5099999999999998</v>
      </c>
      <c r="Q105" s="202">
        <v>2.44</v>
      </c>
      <c r="R105" s="210"/>
      <c r="S105" s="170"/>
      <c r="T105" s="170"/>
      <c r="U105" s="132" t="str">
        <f t="shared" si="3"/>
        <v/>
      </c>
      <c r="V105" s="223"/>
      <c r="W105" s="223"/>
      <c r="X105" s="170"/>
      <c r="Y105" s="226" t="str">
        <f>IF(Q105&lt;&gt;"",IF(Q105&lt;=1.2,IF(O105="A","CR",IF(V105&lt;&gt;"",IF(Parametre_2018!N$4=1,IF(LEFT(V105,1)="1",IF(V105&lt;&gt;"",IF(Parametre_2018!O$4&lt;&gt;"",IF(N105&lt;=Parametre_2018!O$4,IF(V105&lt;&gt;"",IF(Parametre_2018!P$4&lt;&gt;"",IF(O105&lt;=Parametre_2018!P$4,"PLD",""),"PLD"),""),""),IF(V105&lt;&gt;"",IF(Parametre_2018!P$4&lt;&gt;"",IF(O105&lt;=Parametre_2018!P$4,"PLD",""),"PLD"),"")),""),""),IF(V105&lt;&gt;"",IF(Parametre_2018!O$4&lt;&gt;"",IF(N105&lt;=Parametre_2018!O$4,IF(V105&lt;&gt;"",IF(Parametre_2018!P$4&lt;&gt;"",IF(O105&lt;=Parametre_2018!P$4,"PLD",""),"PLD"),""),""),IF(V105&lt;&gt;"",IF(Parametre_2018!P$4&lt;&gt;"",IF(O105&lt;=Parametre_2018!P$4,"PLD",""),"PLD"),"")),"")),"")),IF(V105&lt;&gt;"",IF(Parametre_2018!N$4=1,IF(LEFT(V105,1)="1",IF(V105&lt;&gt;"",IF(Parametre_2018!O$4&lt;&gt;"",IF(N105&lt;=Parametre_2018!O$4,IF(V105&lt;&gt;"",IF(Parametre_2018!P$4&lt;&gt;"",IF(O105&lt;=Parametre_2018!P$4,"PLD",""),"PLD"),""),""),IF(V105&lt;&gt;"",IF(Parametre_2018!P$4&lt;&gt;"",IF(O105&lt;=Parametre_2018!P$4,"PLD",""),"PLD"),"")),""),""),IF(V105&lt;&gt;"",IF(Parametre_2018!O$4&lt;&gt;"",IF(N105&lt;=Parametre_2018!O$4,IF(V105&lt;&gt;"",IF(Parametre_2018!P$4&lt;&gt;"",IF(O105&lt;=Parametre_2018!P$4,"PLD",""),"PLD"),""),""),IF(V105&lt;&gt;"",IF(Parametre_2018!P$4&lt;&gt;"",IF(O105&lt;=Parametre_2018!P$4,"PLD",""),"PLD"),"")),"")),"")),"")</f>
        <v/>
      </c>
      <c r="Z105" s="223"/>
      <c r="AA105" s="227"/>
      <c r="AB105" s="228" t="str">
        <f>IF(Q105&lt;&gt;"",IF(Q105&lt;=Parametre_2018!B$4,IF(Parametre_2018!C$4&lt;&gt;"",IF(N105&lt;=Parametre_2018!C$4,IF(Parametre_2018!D$4&lt;&gt;"",IF(O105&lt;=Parametre_2018!D$4,"MCL",IF(Parametre_2018!I$4&lt;&gt;"",IF(N105&lt;=Parametre_2018!I$4,IF(Parametre_2018!J$4&lt;&gt;"",IF(O105&lt;=Parametre_2018!J$4,"CL",""),"CL"),""),IF(Parametre_2018!J$4&lt;&gt;"",IF(O105&lt;=Parametre_2018!J$4,"CL",""),"CL"))),"MCL"),IF(Parametre_2018!I$4&lt;&gt;"",IF(N105&lt;=Parametre_2018!I$4,IF(Parametre_2018!J$4&lt;&gt;"",IF(O105&lt;=Parametre_2018!J$4,"CL",""),"CL"),""),IF(Parametre_2018!J$4&lt;&gt;"",IF(O105&lt;=Parametre_2018!J$4,"CL",""),"CL"))),IF(Parametre_2018!D$4&lt;&gt;"",IF(O105&lt;=Parametre_2018!D$4,"MCL",IF(Parametre_2018!I$4&lt;&gt;"",IF(N105&lt;=Parametre_2018!I$4,IF(Parametre_2018!J$4&lt;&gt;"",IF(O105&lt;=Parametre_2018!J$4,"CL",""),"CL"),""),IF(Parametre_2018!J$4&lt;&gt;"",IF(O105&lt;=Parametre_2018!J$4,"CL",""),"CL"))),"MCL")),IF(Q105&lt;&gt;"",IF(AND(Q105&gt;Parametre_2018!B$4,Q105&lt;=Parametre_2018!H$4),IF(Parametre_2018!I$4&lt;&gt;"",IF(N105&lt;=Parametre_2018!I$4,IF(Parametre_2018!J$4&lt;&gt;"",IF(O105&lt;=Parametre_2018!J$4,"CL",""),"CL"),""),IF(Parametre_2018!J$4&lt;&gt;"",IF(O105&lt;=Parametre_2018!J$4,"CL",""),"CL")),""),"")),"")</f>
        <v/>
      </c>
      <c r="AC105" s="170"/>
      <c r="AD105" s="74"/>
      <c r="AE105" s="170"/>
      <c r="AF105" s="170"/>
    </row>
    <row r="106" spans="1:32" ht="48.75" customHeight="1" x14ac:dyDescent="0.25">
      <c r="A106" s="152">
        <v>44</v>
      </c>
      <c r="B106" s="152" t="s">
        <v>62</v>
      </c>
      <c r="C106" s="183" t="s">
        <v>376</v>
      </c>
      <c r="D106" s="183" t="s">
        <v>52</v>
      </c>
      <c r="E106" s="184" t="s">
        <v>50</v>
      </c>
      <c r="F106" s="185" t="s">
        <v>471</v>
      </c>
      <c r="G106" s="195">
        <v>43262</v>
      </c>
      <c r="H106" s="187" t="s">
        <v>489</v>
      </c>
      <c r="I106" s="192" t="s">
        <v>18</v>
      </c>
      <c r="J106" s="194" t="s">
        <v>490</v>
      </c>
      <c r="K106" s="164" t="s">
        <v>230</v>
      </c>
      <c r="L106" s="161" t="s">
        <v>145</v>
      </c>
      <c r="M106" s="163" t="s">
        <v>130</v>
      </c>
      <c r="N106" s="62" t="s">
        <v>27</v>
      </c>
      <c r="O106" s="198" t="s">
        <v>25</v>
      </c>
      <c r="P106" s="200">
        <v>2.35</v>
      </c>
      <c r="Q106" s="202">
        <v>2.4500000000000002</v>
      </c>
      <c r="R106" s="60"/>
      <c r="S106" s="60"/>
      <c r="T106" s="58"/>
      <c r="U106" s="132" t="str">
        <f t="shared" si="3"/>
        <v/>
      </c>
      <c r="V106" s="55"/>
      <c r="W106" s="55" t="s">
        <v>62</v>
      </c>
      <c r="X106" s="54"/>
      <c r="Y106" s="226" t="str">
        <f>IF(Q106&lt;&gt;"",IF(Q106&lt;=1.2,IF(O106="A","CR",IF(V106&lt;&gt;"",IF(Parametre_2018!N$4=1,IF(LEFT(V106,1)="1",IF(V106&lt;&gt;"",IF(Parametre_2018!O$4&lt;&gt;"",IF(N106&lt;=Parametre_2018!O$4,IF(V106&lt;&gt;"",IF(Parametre_2018!P$4&lt;&gt;"",IF(O106&lt;=Parametre_2018!P$4,"PLD",""),"PLD"),""),""),IF(V106&lt;&gt;"",IF(Parametre_2018!P$4&lt;&gt;"",IF(O106&lt;=Parametre_2018!P$4,"PLD",""),"PLD"),"")),""),""),IF(V106&lt;&gt;"",IF(Parametre_2018!O$4&lt;&gt;"",IF(N106&lt;=Parametre_2018!O$4,IF(V106&lt;&gt;"",IF(Parametre_2018!P$4&lt;&gt;"",IF(O106&lt;=Parametre_2018!P$4,"PLD",""),"PLD"),""),""),IF(V106&lt;&gt;"",IF(Parametre_2018!P$4&lt;&gt;"",IF(O106&lt;=Parametre_2018!P$4,"PLD",""),"PLD"),"")),"")),"")),IF(V106&lt;&gt;"",IF(Parametre_2018!N$4=1,IF(LEFT(V106,1)="1",IF(V106&lt;&gt;"",IF(Parametre_2018!O$4&lt;&gt;"",IF(N106&lt;=Parametre_2018!O$4,IF(V106&lt;&gt;"",IF(Parametre_2018!P$4&lt;&gt;"",IF(O106&lt;=Parametre_2018!P$4,"PLD",""),"PLD"),""),""),IF(V106&lt;&gt;"",IF(Parametre_2018!P$4&lt;&gt;"",IF(O106&lt;=Parametre_2018!P$4,"PLD",""),"PLD"),"")),""),""),IF(V106&lt;&gt;"",IF(Parametre_2018!O$4&lt;&gt;"",IF(N106&lt;=Parametre_2018!O$4,IF(V106&lt;&gt;"",IF(Parametre_2018!P$4&lt;&gt;"",IF(O106&lt;=Parametre_2018!P$4,"PLD",""),"PLD"),""),""),IF(V106&lt;&gt;"",IF(Parametre_2018!P$4&lt;&gt;"",IF(O106&lt;=Parametre_2018!P$4,"PLD",""),"PLD"),"")),"")),"")),"")</f>
        <v/>
      </c>
      <c r="Z106" s="58"/>
      <c r="AA106" s="227"/>
      <c r="AB106" s="228" t="str">
        <f>IF(Q106&lt;&gt;"",IF(Q106&lt;=Parametre_2018!B$4,IF(Parametre_2018!C$4&lt;&gt;"",IF(N106&lt;=Parametre_2018!C$4,IF(Parametre_2018!D$4&lt;&gt;"",IF(O106&lt;=Parametre_2018!D$4,"MCL",IF(Parametre_2018!I$4&lt;&gt;"",IF(N106&lt;=Parametre_2018!I$4,IF(Parametre_2018!J$4&lt;&gt;"",IF(O106&lt;=Parametre_2018!J$4,"CL",""),"CL"),""),IF(Parametre_2018!J$4&lt;&gt;"",IF(O106&lt;=Parametre_2018!J$4,"CL",""),"CL"))),"MCL"),IF(Parametre_2018!I$4&lt;&gt;"",IF(N106&lt;=Parametre_2018!I$4,IF(Parametre_2018!J$4&lt;&gt;"",IF(O106&lt;=Parametre_2018!J$4,"CL",""),"CL"),""),IF(Parametre_2018!J$4&lt;&gt;"",IF(O106&lt;=Parametre_2018!J$4,"CL",""),"CL"))),IF(Parametre_2018!D$4&lt;&gt;"",IF(O106&lt;=Parametre_2018!D$4,"MCL",IF(Parametre_2018!I$4&lt;&gt;"",IF(N106&lt;=Parametre_2018!I$4,IF(Parametre_2018!J$4&lt;&gt;"",IF(O106&lt;=Parametre_2018!J$4,"CL",""),"CL"),""),IF(Parametre_2018!J$4&lt;&gt;"",IF(O106&lt;=Parametre_2018!J$4,"CL",""),"CL"))),"MCL")),IF(Q106&lt;&gt;"",IF(AND(Q106&gt;Parametre_2018!B$4,Q106&lt;=Parametre_2018!H$4),IF(Parametre_2018!I$4&lt;&gt;"",IF(N106&lt;=Parametre_2018!I$4,IF(Parametre_2018!J$4&lt;&gt;"",IF(O106&lt;=Parametre_2018!J$4,"CL",""),"CL"),""),IF(Parametre_2018!J$4&lt;&gt;"",IF(O106&lt;=Parametre_2018!J$4,"CL",""),"CL")),""),"")),"")</f>
        <v/>
      </c>
      <c r="AC106" s="89"/>
      <c r="AD106" s="74"/>
      <c r="AE106" s="54"/>
      <c r="AF106" s="54"/>
    </row>
    <row r="107" spans="1:32" ht="48.75" customHeight="1" x14ac:dyDescent="0.25">
      <c r="A107" s="152">
        <v>15</v>
      </c>
      <c r="B107" s="152" t="s">
        <v>504</v>
      </c>
      <c r="C107" s="183" t="s">
        <v>330</v>
      </c>
      <c r="D107" s="183" t="s">
        <v>331</v>
      </c>
      <c r="E107" s="184" t="s">
        <v>50</v>
      </c>
      <c r="F107" s="185" t="s">
        <v>470</v>
      </c>
      <c r="G107" s="195">
        <v>43262</v>
      </c>
      <c r="H107" s="187" t="s">
        <v>491</v>
      </c>
      <c r="I107" s="187" t="s">
        <v>44</v>
      </c>
      <c r="J107" s="155" t="s">
        <v>492</v>
      </c>
      <c r="K107" s="164" t="s">
        <v>201</v>
      </c>
      <c r="L107" s="161" t="s">
        <v>120</v>
      </c>
      <c r="M107" s="163" t="s">
        <v>176</v>
      </c>
      <c r="N107" s="177" t="s">
        <v>25</v>
      </c>
      <c r="O107" s="198" t="s">
        <v>61</v>
      </c>
      <c r="P107" s="200">
        <v>2.21</v>
      </c>
      <c r="Q107" s="202">
        <v>2.48</v>
      </c>
      <c r="R107" s="207"/>
      <c r="S107" s="152"/>
      <c r="T107" s="152"/>
      <c r="U107" s="132" t="str">
        <f t="shared" si="3"/>
        <v/>
      </c>
      <c r="V107" s="55"/>
      <c r="W107" s="55"/>
      <c r="X107" s="58"/>
      <c r="Y107" s="226" t="str">
        <f>IF(Q107&lt;&gt;"",IF(Q107&lt;=1.2,IF(O107="A","CR",IF(V107&lt;&gt;"",IF(Parametre_2018!N$4=1,IF(LEFT(V107,1)="1",IF(V107&lt;&gt;"",IF(Parametre_2018!O$4&lt;&gt;"",IF(N107&lt;=Parametre_2018!O$4,IF(V107&lt;&gt;"",IF(Parametre_2018!P$4&lt;&gt;"",IF(O107&lt;=Parametre_2018!P$4,"PLD",""),"PLD"),""),""),IF(V107&lt;&gt;"",IF(Parametre_2018!P$4&lt;&gt;"",IF(O107&lt;=Parametre_2018!P$4,"PLD",""),"PLD"),"")),""),""),IF(V107&lt;&gt;"",IF(Parametre_2018!O$4&lt;&gt;"",IF(N107&lt;=Parametre_2018!O$4,IF(V107&lt;&gt;"",IF(Parametre_2018!P$4&lt;&gt;"",IF(O107&lt;=Parametre_2018!P$4,"PLD",""),"PLD"),""),""),IF(V107&lt;&gt;"",IF(Parametre_2018!P$4&lt;&gt;"",IF(O107&lt;=Parametre_2018!P$4,"PLD",""),"PLD"),"")),"")),"")),IF(V107&lt;&gt;"",IF(Parametre_2018!N$4=1,IF(LEFT(V107,1)="1",IF(V107&lt;&gt;"",IF(Parametre_2018!O$4&lt;&gt;"",IF(N107&lt;=Parametre_2018!O$4,IF(V107&lt;&gt;"",IF(Parametre_2018!P$4&lt;&gt;"",IF(O107&lt;=Parametre_2018!P$4,"PLD",""),"PLD"),""),""),IF(V107&lt;&gt;"",IF(Parametre_2018!P$4&lt;&gt;"",IF(O107&lt;=Parametre_2018!P$4,"PLD",""),"PLD"),"")),""),""),IF(V107&lt;&gt;"",IF(Parametre_2018!O$4&lt;&gt;"",IF(N107&lt;=Parametre_2018!O$4,IF(V107&lt;&gt;"",IF(Parametre_2018!P$4&lt;&gt;"",IF(O107&lt;=Parametre_2018!P$4,"PLD",""),"PLD"),""),""),IF(V107&lt;&gt;"",IF(Parametre_2018!P$4&lt;&gt;"",IF(O107&lt;=Parametre_2018!P$4,"PLD",""),"PLD"),"")),"")),"")),"")</f>
        <v/>
      </c>
      <c r="Z107" s="58"/>
      <c r="AA107" s="227"/>
      <c r="AB107" s="228" t="str">
        <f>IF(Q107&lt;&gt;"",IF(Q107&lt;=Parametre_2018!B$4,IF(Parametre_2018!C$4&lt;&gt;"",IF(N107&lt;=Parametre_2018!C$4,IF(Parametre_2018!D$4&lt;&gt;"",IF(O107&lt;=Parametre_2018!D$4,"MCL",IF(Parametre_2018!I$4&lt;&gt;"",IF(N107&lt;=Parametre_2018!I$4,IF(Parametre_2018!J$4&lt;&gt;"",IF(O107&lt;=Parametre_2018!J$4,"CL",""),"CL"),""),IF(Parametre_2018!J$4&lt;&gt;"",IF(O107&lt;=Parametre_2018!J$4,"CL",""),"CL"))),"MCL"),IF(Parametre_2018!I$4&lt;&gt;"",IF(N107&lt;=Parametre_2018!I$4,IF(Parametre_2018!J$4&lt;&gt;"",IF(O107&lt;=Parametre_2018!J$4,"CL",""),"CL"),""),IF(Parametre_2018!J$4&lt;&gt;"",IF(O107&lt;=Parametre_2018!J$4,"CL",""),"CL"))),IF(Parametre_2018!D$4&lt;&gt;"",IF(O107&lt;=Parametre_2018!D$4,"MCL",IF(Parametre_2018!I$4&lt;&gt;"",IF(N107&lt;=Parametre_2018!I$4,IF(Parametre_2018!J$4&lt;&gt;"",IF(O107&lt;=Parametre_2018!J$4,"CL",""),"CL"),""),IF(Parametre_2018!J$4&lt;&gt;"",IF(O107&lt;=Parametre_2018!J$4,"CL",""),"CL"))),"MCL")),IF(Q107&lt;&gt;"",IF(AND(Q107&gt;Parametre_2018!B$4,Q107&lt;=Parametre_2018!H$4),IF(Parametre_2018!I$4&lt;&gt;"",IF(N107&lt;=Parametre_2018!I$4,IF(Parametre_2018!J$4&lt;&gt;"",IF(O107&lt;=Parametre_2018!J$4,"CL",""),"CL"),""),IF(Parametre_2018!J$4&lt;&gt;"",IF(O107&lt;=Parametre_2018!J$4,"CL",""),"CL")),""),"")),"")</f>
        <v/>
      </c>
      <c r="AC107" s="89"/>
      <c r="AD107" s="74"/>
      <c r="AE107" s="77"/>
      <c r="AF107" s="54"/>
    </row>
    <row r="108" spans="1:32" ht="48.75" customHeight="1" x14ac:dyDescent="0.25">
      <c r="A108" s="152">
        <v>110</v>
      </c>
      <c r="B108" s="152" t="s">
        <v>62</v>
      </c>
      <c r="C108" s="183" t="s">
        <v>461</v>
      </c>
      <c r="D108" s="183" t="s">
        <v>351</v>
      </c>
      <c r="E108" s="184" t="s">
        <v>50</v>
      </c>
      <c r="F108" s="185" t="s">
        <v>471</v>
      </c>
      <c r="G108" s="186">
        <v>43263</v>
      </c>
      <c r="H108" s="188" t="s">
        <v>479</v>
      </c>
      <c r="I108" s="234" t="s">
        <v>480</v>
      </c>
      <c r="J108" s="219" t="s">
        <v>42</v>
      </c>
      <c r="K108" s="164" t="s">
        <v>296</v>
      </c>
      <c r="L108" s="161" t="s">
        <v>164</v>
      </c>
      <c r="M108" s="163" t="s">
        <v>45</v>
      </c>
      <c r="N108" s="178" t="s">
        <v>25</v>
      </c>
      <c r="O108" s="198" t="s">
        <v>25</v>
      </c>
      <c r="P108" s="200">
        <v>2.4500000000000002</v>
      </c>
      <c r="Q108" s="202">
        <v>2.52</v>
      </c>
      <c r="R108" s="213"/>
      <c r="S108" s="174"/>
      <c r="T108" s="174"/>
      <c r="U108" s="132" t="str">
        <f t="shared" si="3"/>
        <v/>
      </c>
      <c r="V108" s="152"/>
      <c r="W108" s="152"/>
      <c r="X108" s="155"/>
      <c r="Y108" s="226" t="str">
        <f>IF(Q108&lt;&gt;"",IF(Q108&lt;=1.2,IF(O108="A","CR",IF(V108&lt;&gt;"",IF(Parametre_2018!N$4=1,IF(LEFT(V108,1)="1",IF(V108&lt;&gt;"",IF(Parametre_2018!O$4&lt;&gt;"",IF(N108&lt;=Parametre_2018!O$4,IF(V108&lt;&gt;"",IF(Parametre_2018!P$4&lt;&gt;"",IF(O108&lt;=Parametre_2018!P$4,"PLD",""),"PLD"),""),""),IF(V108&lt;&gt;"",IF(Parametre_2018!P$4&lt;&gt;"",IF(O108&lt;=Parametre_2018!P$4,"PLD",""),"PLD"),"")),""),""),IF(V108&lt;&gt;"",IF(Parametre_2018!O$4&lt;&gt;"",IF(N108&lt;=Parametre_2018!O$4,IF(V108&lt;&gt;"",IF(Parametre_2018!P$4&lt;&gt;"",IF(O108&lt;=Parametre_2018!P$4,"PLD",""),"PLD"),""),""),IF(V108&lt;&gt;"",IF(Parametre_2018!P$4&lt;&gt;"",IF(O108&lt;=Parametre_2018!P$4,"PLD",""),"PLD"),"")),"")),"")),IF(V108&lt;&gt;"",IF(Parametre_2018!N$4=1,IF(LEFT(V108,1)="1",IF(V108&lt;&gt;"",IF(Parametre_2018!O$4&lt;&gt;"",IF(N108&lt;=Parametre_2018!O$4,IF(V108&lt;&gt;"",IF(Parametre_2018!P$4&lt;&gt;"",IF(O108&lt;=Parametre_2018!P$4,"PLD",""),"PLD"),""),""),IF(V108&lt;&gt;"",IF(Parametre_2018!P$4&lt;&gt;"",IF(O108&lt;=Parametre_2018!P$4,"PLD",""),"PLD"),"")),""),""),IF(V108&lt;&gt;"",IF(Parametre_2018!O$4&lt;&gt;"",IF(N108&lt;=Parametre_2018!O$4,IF(V108&lt;&gt;"",IF(Parametre_2018!P$4&lt;&gt;"",IF(O108&lt;=Parametre_2018!P$4,"PLD",""),"PLD"),""),""),IF(V108&lt;&gt;"",IF(Parametre_2018!P$4&lt;&gt;"",IF(O108&lt;=Parametre_2018!P$4,"PLD",""),"PLD"),"")),"")),"")),"")</f>
        <v/>
      </c>
      <c r="Z108" s="152"/>
      <c r="AA108" s="227"/>
      <c r="AB108" s="228" t="str">
        <f>IF(Q108&lt;&gt;"",IF(Q108&lt;=Parametre_2018!B$4,IF(Parametre_2018!C$4&lt;&gt;"",IF(N108&lt;=Parametre_2018!C$4,IF(Parametre_2018!D$4&lt;&gt;"",IF(O108&lt;=Parametre_2018!D$4,"MCL",IF(Parametre_2018!I$4&lt;&gt;"",IF(N108&lt;=Parametre_2018!I$4,IF(Parametre_2018!J$4&lt;&gt;"",IF(O108&lt;=Parametre_2018!J$4,"CL",""),"CL"),""),IF(Parametre_2018!J$4&lt;&gt;"",IF(O108&lt;=Parametre_2018!J$4,"CL",""),"CL"))),"MCL"),IF(Parametre_2018!I$4&lt;&gt;"",IF(N108&lt;=Parametre_2018!I$4,IF(Parametre_2018!J$4&lt;&gt;"",IF(O108&lt;=Parametre_2018!J$4,"CL",""),"CL"),""),IF(Parametre_2018!J$4&lt;&gt;"",IF(O108&lt;=Parametre_2018!J$4,"CL",""),"CL"))),IF(Parametre_2018!D$4&lt;&gt;"",IF(O108&lt;=Parametre_2018!D$4,"MCL",IF(Parametre_2018!I$4&lt;&gt;"",IF(N108&lt;=Parametre_2018!I$4,IF(Parametre_2018!J$4&lt;&gt;"",IF(O108&lt;=Parametre_2018!J$4,"CL",""),"CL"),""),IF(Parametre_2018!J$4&lt;&gt;"",IF(O108&lt;=Parametre_2018!J$4,"CL",""),"CL"))),"MCL")),IF(Q108&lt;&gt;"",IF(AND(Q108&gt;Parametre_2018!B$4,Q108&lt;=Parametre_2018!H$4),IF(Parametre_2018!I$4&lt;&gt;"",IF(N108&lt;=Parametre_2018!I$4,IF(Parametre_2018!J$4&lt;&gt;"",IF(O108&lt;=Parametre_2018!J$4,"CL",""),"CL"),""),IF(Parametre_2018!J$4&lt;&gt;"",IF(O108&lt;=Parametre_2018!J$4,"CL",""),"CL")),""),"")),"")</f>
        <v/>
      </c>
      <c r="AC108" s="155"/>
      <c r="AD108" s="74"/>
      <c r="AE108" s="155"/>
      <c r="AF108" s="175"/>
    </row>
    <row r="109" spans="1:32" ht="48.75" customHeight="1" x14ac:dyDescent="0.25">
      <c r="A109" s="152">
        <v>52</v>
      </c>
      <c r="B109" s="152" t="s">
        <v>62</v>
      </c>
      <c r="C109" s="183" t="s">
        <v>385</v>
      </c>
      <c r="D109" s="183" t="s">
        <v>360</v>
      </c>
      <c r="E109" s="184" t="s">
        <v>50</v>
      </c>
      <c r="F109" s="185" t="s">
        <v>471</v>
      </c>
      <c r="G109" s="186">
        <v>43263</v>
      </c>
      <c r="H109" s="192" t="s">
        <v>474</v>
      </c>
      <c r="I109" s="192" t="s">
        <v>44</v>
      </c>
      <c r="J109" s="172" t="s">
        <v>53</v>
      </c>
      <c r="K109" s="164" t="s">
        <v>238</v>
      </c>
      <c r="L109" s="161" t="s">
        <v>136</v>
      </c>
      <c r="M109" s="163" t="s">
        <v>167</v>
      </c>
      <c r="N109" s="182" t="s">
        <v>59</v>
      </c>
      <c r="O109" s="198" t="s">
        <v>59</v>
      </c>
      <c r="P109" s="200">
        <v>2.62</v>
      </c>
      <c r="Q109" s="202">
        <v>2.5299999999999998</v>
      </c>
      <c r="R109" s="154"/>
      <c r="S109" s="154"/>
      <c r="T109" s="154"/>
      <c r="U109" s="132" t="str">
        <f t="shared" si="3"/>
        <v/>
      </c>
      <c r="V109" s="207"/>
      <c r="W109" s="221" t="s">
        <v>62</v>
      </c>
      <c r="X109" s="221" t="s">
        <v>62</v>
      </c>
      <c r="Y109" s="226" t="str">
        <f>IF(Q109&lt;&gt;"",IF(Q109&lt;=1.2,IF(O109="A","CR",IF(V109&lt;&gt;"",IF(Parametre_2018!N$4=1,IF(LEFT(V109,1)="1",IF(V109&lt;&gt;"",IF(Parametre_2018!O$4&lt;&gt;"",IF(N109&lt;=Parametre_2018!O$4,IF(V109&lt;&gt;"",IF(Parametre_2018!P$4&lt;&gt;"",IF(O109&lt;=Parametre_2018!P$4,"PLD",""),"PLD"),""),""),IF(V109&lt;&gt;"",IF(Parametre_2018!P$4&lt;&gt;"",IF(O109&lt;=Parametre_2018!P$4,"PLD",""),"PLD"),"")),""),""),IF(V109&lt;&gt;"",IF(Parametre_2018!O$4&lt;&gt;"",IF(N109&lt;=Parametre_2018!O$4,IF(V109&lt;&gt;"",IF(Parametre_2018!P$4&lt;&gt;"",IF(O109&lt;=Parametre_2018!P$4,"PLD",""),"PLD"),""),""),IF(V109&lt;&gt;"",IF(Parametre_2018!P$4&lt;&gt;"",IF(O109&lt;=Parametre_2018!P$4,"PLD",""),"PLD"),"")),"")),"")),IF(V109&lt;&gt;"",IF(Parametre_2018!N$4=1,IF(LEFT(V109,1)="1",IF(V109&lt;&gt;"",IF(Parametre_2018!O$4&lt;&gt;"",IF(N109&lt;=Parametre_2018!O$4,IF(V109&lt;&gt;"",IF(Parametre_2018!P$4&lt;&gt;"",IF(O109&lt;=Parametre_2018!P$4,"PLD",""),"PLD"),""),""),IF(V109&lt;&gt;"",IF(Parametre_2018!P$4&lt;&gt;"",IF(O109&lt;=Parametre_2018!P$4,"PLD",""),"PLD"),"")),""),""),IF(V109&lt;&gt;"",IF(Parametre_2018!O$4&lt;&gt;"",IF(N109&lt;=Parametre_2018!O$4,IF(V109&lt;&gt;"",IF(Parametre_2018!P$4&lt;&gt;"",IF(O109&lt;=Parametre_2018!P$4,"PLD",""),"PLD"),""),""),IF(V109&lt;&gt;"",IF(Parametre_2018!P$4&lt;&gt;"",IF(O109&lt;=Parametre_2018!P$4,"PLD",""),"PLD"),"")),"")),"")),"")</f>
        <v/>
      </c>
      <c r="Z109" s="207"/>
      <c r="AA109" s="227"/>
      <c r="AB109" s="228" t="str">
        <f>IF(Q109&lt;&gt;"",IF(Q109&lt;=Parametre_2018!B$4,IF(Parametre_2018!C$4&lt;&gt;"",IF(N109&lt;=Parametre_2018!C$4,IF(Parametre_2018!D$4&lt;&gt;"",IF(O109&lt;=Parametre_2018!D$4,"MCL",IF(Parametre_2018!I$4&lt;&gt;"",IF(N109&lt;=Parametre_2018!I$4,IF(Parametre_2018!J$4&lt;&gt;"",IF(O109&lt;=Parametre_2018!J$4,"CL",""),"CL"),""),IF(Parametre_2018!J$4&lt;&gt;"",IF(O109&lt;=Parametre_2018!J$4,"CL",""),"CL"))),"MCL"),IF(Parametre_2018!I$4&lt;&gt;"",IF(N109&lt;=Parametre_2018!I$4,IF(Parametre_2018!J$4&lt;&gt;"",IF(O109&lt;=Parametre_2018!J$4,"CL",""),"CL"),""),IF(Parametre_2018!J$4&lt;&gt;"",IF(O109&lt;=Parametre_2018!J$4,"CL",""),"CL"))),IF(Parametre_2018!D$4&lt;&gt;"",IF(O109&lt;=Parametre_2018!D$4,"MCL",IF(Parametre_2018!I$4&lt;&gt;"",IF(N109&lt;=Parametre_2018!I$4,IF(Parametre_2018!J$4&lt;&gt;"",IF(O109&lt;=Parametre_2018!J$4,"CL",""),"CL"),""),IF(Parametre_2018!J$4&lt;&gt;"",IF(O109&lt;=Parametre_2018!J$4,"CL",""),"CL"))),"MCL")),IF(Q109&lt;&gt;"",IF(AND(Q109&gt;Parametre_2018!B$4,Q109&lt;=Parametre_2018!H$4),IF(Parametre_2018!I$4&lt;&gt;"",IF(N109&lt;=Parametre_2018!I$4,IF(Parametre_2018!J$4&lt;&gt;"",IF(O109&lt;=Parametre_2018!J$4,"CL",""),"CL"),""),IF(Parametre_2018!J$4&lt;&gt;"",IF(O109&lt;=Parametre_2018!J$4,"CL",""),"CL")),""),"")),"")</f>
        <v/>
      </c>
      <c r="AC109" s="154"/>
      <c r="AD109" s="74"/>
      <c r="AE109" s="154"/>
      <c r="AF109" s="154"/>
    </row>
    <row r="110" spans="1:32" ht="48.75" customHeight="1" x14ac:dyDescent="0.25">
      <c r="A110" s="152">
        <v>114</v>
      </c>
      <c r="B110" s="152" t="s">
        <v>62</v>
      </c>
      <c r="C110" s="183" t="s">
        <v>464</v>
      </c>
      <c r="D110" s="183" t="s">
        <v>55</v>
      </c>
      <c r="E110" s="184" t="s">
        <v>50</v>
      </c>
      <c r="F110" s="185" t="s">
        <v>470</v>
      </c>
      <c r="G110" s="186">
        <v>43263</v>
      </c>
      <c r="H110" s="187" t="s">
        <v>481</v>
      </c>
      <c r="I110" s="192" t="s">
        <v>482</v>
      </c>
      <c r="J110" s="194" t="s">
        <v>483</v>
      </c>
      <c r="K110" s="164" t="s">
        <v>300</v>
      </c>
      <c r="L110" s="161" t="s">
        <v>171</v>
      </c>
      <c r="M110" s="163" t="s">
        <v>46</v>
      </c>
      <c r="N110" s="178" t="s">
        <v>60</v>
      </c>
      <c r="O110" s="198" t="s">
        <v>60</v>
      </c>
      <c r="P110" s="200">
        <v>2.71</v>
      </c>
      <c r="Q110" s="202">
        <v>2.5299999999999998</v>
      </c>
      <c r="R110" s="213"/>
      <c r="S110" s="174"/>
      <c r="T110" s="174"/>
      <c r="U110" s="132" t="str">
        <f t="shared" si="3"/>
        <v/>
      </c>
      <c r="V110" s="152"/>
      <c r="W110" s="152"/>
      <c r="X110" s="155"/>
      <c r="Y110" s="226" t="str">
        <f>IF(Q110&lt;&gt;"",IF(Q110&lt;=1.2,IF(O110="A","CR",IF(V110&lt;&gt;"",IF(Parametre_2018!N$4=1,IF(LEFT(V110,1)="1",IF(V110&lt;&gt;"",IF(Parametre_2018!O$4&lt;&gt;"",IF(N110&lt;=Parametre_2018!O$4,IF(V110&lt;&gt;"",IF(Parametre_2018!P$4&lt;&gt;"",IF(O110&lt;=Parametre_2018!P$4,"PLD",""),"PLD"),""),""),IF(V110&lt;&gt;"",IF(Parametre_2018!P$4&lt;&gt;"",IF(O110&lt;=Parametre_2018!P$4,"PLD",""),"PLD"),"")),""),""),IF(V110&lt;&gt;"",IF(Parametre_2018!O$4&lt;&gt;"",IF(N110&lt;=Parametre_2018!O$4,IF(V110&lt;&gt;"",IF(Parametre_2018!P$4&lt;&gt;"",IF(O110&lt;=Parametre_2018!P$4,"PLD",""),"PLD"),""),""),IF(V110&lt;&gt;"",IF(Parametre_2018!P$4&lt;&gt;"",IF(O110&lt;=Parametre_2018!P$4,"PLD",""),"PLD"),"")),"")),"")),IF(V110&lt;&gt;"",IF(Parametre_2018!N$4=1,IF(LEFT(V110,1)="1",IF(V110&lt;&gt;"",IF(Parametre_2018!O$4&lt;&gt;"",IF(N110&lt;=Parametre_2018!O$4,IF(V110&lt;&gt;"",IF(Parametre_2018!P$4&lt;&gt;"",IF(O110&lt;=Parametre_2018!P$4,"PLD",""),"PLD"),""),""),IF(V110&lt;&gt;"",IF(Parametre_2018!P$4&lt;&gt;"",IF(O110&lt;=Parametre_2018!P$4,"PLD",""),"PLD"),"")),""),""),IF(V110&lt;&gt;"",IF(Parametre_2018!O$4&lt;&gt;"",IF(N110&lt;=Parametre_2018!O$4,IF(V110&lt;&gt;"",IF(Parametre_2018!P$4&lt;&gt;"",IF(O110&lt;=Parametre_2018!P$4,"PLD",""),"PLD"),""),""),IF(V110&lt;&gt;"",IF(Parametre_2018!P$4&lt;&gt;"",IF(O110&lt;=Parametre_2018!P$4,"PLD",""),"PLD"),"")),"")),"")),"")</f>
        <v/>
      </c>
      <c r="Z110" s="152"/>
      <c r="AA110" s="227"/>
      <c r="AB110" s="228" t="str">
        <f>IF(Q110&lt;&gt;"",IF(Q110&lt;=Parametre_2018!B$4,IF(Parametre_2018!C$4&lt;&gt;"",IF(N110&lt;=Parametre_2018!C$4,IF(Parametre_2018!D$4&lt;&gt;"",IF(O110&lt;=Parametre_2018!D$4,"MCL",IF(Parametre_2018!I$4&lt;&gt;"",IF(N110&lt;=Parametre_2018!I$4,IF(Parametre_2018!J$4&lt;&gt;"",IF(O110&lt;=Parametre_2018!J$4,"CL",""),"CL"),""),IF(Parametre_2018!J$4&lt;&gt;"",IF(O110&lt;=Parametre_2018!J$4,"CL",""),"CL"))),"MCL"),IF(Parametre_2018!I$4&lt;&gt;"",IF(N110&lt;=Parametre_2018!I$4,IF(Parametre_2018!J$4&lt;&gt;"",IF(O110&lt;=Parametre_2018!J$4,"CL",""),"CL"),""),IF(Parametre_2018!J$4&lt;&gt;"",IF(O110&lt;=Parametre_2018!J$4,"CL",""),"CL"))),IF(Parametre_2018!D$4&lt;&gt;"",IF(O110&lt;=Parametre_2018!D$4,"MCL",IF(Parametre_2018!I$4&lt;&gt;"",IF(N110&lt;=Parametre_2018!I$4,IF(Parametre_2018!J$4&lt;&gt;"",IF(O110&lt;=Parametre_2018!J$4,"CL",""),"CL"),""),IF(Parametre_2018!J$4&lt;&gt;"",IF(O110&lt;=Parametre_2018!J$4,"CL",""),"CL"))),"MCL")),IF(Q110&lt;&gt;"",IF(AND(Q110&gt;Parametre_2018!B$4,Q110&lt;=Parametre_2018!H$4),IF(Parametre_2018!I$4&lt;&gt;"",IF(N110&lt;=Parametre_2018!I$4,IF(Parametre_2018!J$4&lt;&gt;"",IF(O110&lt;=Parametre_2018!J$4,"CL",""),"CL"),""),IF(Parametre_2018!J$4&lt;&gt;"",IF(O110&lt;=Parametre_2018!J$4,"CL",""),"CL")),""),"")),"")</f>
        <v/>
      </c>
      <c r="AC110" s="155"/>
      <c r="AD110" s="74"/>
      <c r="AE110" s="155"/>
      <c r="AF110" s="175"/>
    </row>
    <row r="111" spans="1:32" ht="48.75" customHeight="1" x14ac:dyDescent="0.25">
      <c r="A111" s="152">
        <v>17</v>
      </c>
      <c r="B111" s="152" t="s">
        <v>504</v>
      </c>
      <c r="C111" s="183" t="s">
        <v>334</v>
      </c>
      <c r="D111" s="183" t="s">
        <v>335</v>
      </c>
      <c r="E111" s="184" t="s">
        <v>50</v>
      </c>
      <c r="F111" s="185" t="s">
        <v>471</v>
      </c>
      <c r="G111" s="186">
        <v>43263</v>
      </c>
      <c r="H111" s="187" t="s">
        <v>477</v>
      </c>
      <c r="I111" s="187" t="s">
        <v>478</v>
      </c>
      <c r="J111" s="153" t="s">
        <v>476</v>
      </c>
      <c r="K111" s="164" t="s">
        <v>203</v>
      </c>
      <c r="L111" s="161" t="s">
        <v>130</v>
      </c>
      <c r="M111" s="163" t="s">
        <v>145</v>
      </c>
      <c r="N111" s="177" t="s">
        <v>61</v>
      </c>
      <c r="O111" s="198" t="s">
        <v>61</v>
      </c>
      <c r="P111" s="200">
        <v>2.2400000000000002</v>
      </c>
      <c r="Q111" s="202">
        <v>2.54</v>
      </c>
      <c r="R111" s="152"/>
      <c r="S111" s="152"/>
      <c r="T111" s="152"/>
      <c r="U111" s="132" t="str">
        <f t="shared" si="3"/>
        <v/>
      </c>
      <c r="V111" s="55"/>
      <c r="W111" s="55"/>
      <c r="X111" s="58"/>
      <c r="Y111" s="226" t="str">
        <f>IF(Q111&lt;&gt;"",IF(Q111&lt;=1.2,IF(O111="A","CR",IF(V111&lt;&gt;"",IF(Parametre_2018!N$4=1,IF(LEFT(V111,1)="1",IF(V111&lt;&gt;"",IF(Parametre_2018!O$4&lt;&gt;"",IF(N111&lt;=Parametre_2018!O$4,IF(V111&lt;&gt;"",IF(Parametre_2018!P$4&lt;&gt;"",IF(O111&lt;=Parametre_2018!P$4,"PLD",""),"PLD"),""),""),IF(V111&lt;&gt;"",IF(Parametre_2018!P$4&lt;&gt;"",IF(O111&lt;=Parametre_2018!P$4,"PLD",""),"PLD"),"")),""),""),IF(V111&lt;&gt;"",IF(Parametre_2018!O$4&lt;&gt;"",IF(N111&lt;=Parametre_2018!O$4,IF(V111&lt;&gt;"",IF(Parametre_2018!P$4&lt;&gt;"",IF(O111&lt;=Parametre_2018!P$4,"PLD",""),"PLD"),""),""),IF(V111&lt;&gt;"",IF(Parametre_2018!P$4&lt;&gt;"",IF(O111&lt;=Parametre_2018!P$4,"PLD",""),"PLD"),"")),"")),"")),IF(V111&lt;&gt;"",IF(Parametre_2018!N$4=1,IF(LEFT(V111,1)="1",IF(V111&lt;&gt;"",IF(Parametre_2018!O$4&lt;&gt;"",IF(N111&lt;=Parametre_2018!O$4,IF(V111&lt;&gt;"",IF(Parametre_2018!P$4&lt;&gt;"",IF(O111&lt;=Parametre_2018!P$4,"PLD",""),"PLD"),""),""),IF(V111&lt;&gt;"",IF(Parametre_2018!P$4&lt;&gt;"",IF(O111&lt;=Parametre_2018!P$4,"PLD",""),"PLD"),"")),""),""),IF(V111&lt;&gt;"",IF(Parametre_2018!O$4&lt;&gt;"",IF(N111&lt;=Parametre_2018!O$4,IF(V111&lt;&gt;"",IF(Parametre_2018!P$4&lt;&gt;"",IF(O111&lt;=Parametre_2018!P$4,"PLD",""),"PLD"),""),""),IF(V111&lt;&gt;"",IF(Parametre_2018!P$4&lt;&gt;"",IF(O111&lt;=Parametre_2018!P$4,"PLD",""),"PLD"),"")),"")),"")),"")</f>
        <v/>
      </c>
      <c r="Z111" s="58"/>
      <c r="AA111" s="227"/>
      <c r="AB111" s="228" t="str">
        <f>IF(Q111&lt;&gt;"",IF(Q111&lt;=Parametre_2018!B$4,IF(Parametre_2018!C$4&lt;&gt;"",IF(N111&lt;=Parametre_2018!C$4,IF(Parametre_2018!D$4&lt;&gt;"",IF(O111&lt;=Parametre_2018!D$4,"MCL",IF(Parametre_2018!I$4&lt;&gt;"",IF(N111&lt;=Parametre_2018!I$4,IF(Parametre_2018!J$4&lt;&gt;"",IF(O111&lt;=Parametre_2018!J$4,"CL",""),"CL"),""),IF(Parametre_2018!J$4&lt;&gt;"",IF(O111&lt;=Parametre_2018!J$4,"CL",""),"CL"))),"MCL"),IF(Parametre_2018!I$4&lt;&gt;"",IF(N111&lt;=Parametre_2018!I$4,IF(Parametre_2018!J$4&lt;&gt;"",IF(O111&lt;=Parametre_2018!J$4,"CL",""),"CL"),""),IF(Parametre_2018!J$4&lt;&gt;"",IF(O111&lt;=Parametre_2018!J$4,"CL",""),"CL"))),IF(Parametre_2018!D$4&lt;&gt;"",IF(O111&lt;=Parametre_2018!D$4,"MCL",IF(Parametre_2018!I$4&lt;&gt;"",IF(N111&lt;=Parametre_2018!I$4,IF(Parametre_2018!J$4&lt;&gt;"",IF(O111&lt;=Parametre_2018!J$4,"CL",""),"CL"),""),IF(Parametre_2018!J$4&lt;&gt;"",IF(O111&lt;=Parametre_2018!J$4,"CL",""),"CL"))),"MCL")),IF(Q111&lt;&gt;"",IF(AND(Q111&gt;Parametre_2018!B$4,Q111&lt;=Parametre_2018!H$4),IF(Parametre_2018!I$4&lt;&gt;"",IF(N111&lt;=Parametre_2018!I$4,IF(Parametre_2018!J$4&lt;&gt;"",IF(O111&lt;=Parametre_2018!J$4,"CL",""),"CL"),""),IF(Parametre_2018!J$4&lt;&gt;"",IF(O111&lt;=Parametre_2018!J$4,"CL",""),"CL")),""),"")),"")</f>
        <v/>
      </c>
      <c r="AC111" s="89"/>
      <c r="AD111" s="74"/>
      <c r="AE111" s="77"/>
      <c r="AF111" s="54"/>
    </row>
    <row r="112" spans="1:32" ht="48.75" customHeight="1" x14ac:dyDescent="0.25">
      <c r="A112" s="152">
        <v>69</v>
      </c>
      <c r="B112" s="152" t="s">
        <v>62</v>
      </c>
      <c r="C112" s="183" t="s">
        <v>408</v>
      </c>
      <c r="D112" s="183" t="s">
        <v>363</v>
      </c>
      <c r="E112" s="184" t="s">
        <v>50</v>
      </c>
      <c r="F112" s="185" t="s">
        <v>470</v>
      </c>
      <c r="G112" s="195">
        <v>43262</v>
      </c>
      <c r="H112" s="192" t="s">
        <v>502</v>
      </c>
      <c r="I112" s="192" t="s">
        <v>485</v>
      </c>
      <c r="J112" s="194" t="s">
        <v>503</v>
      </c>
      <c r="K112" s="164" t="s">
        <v>255</v>
      </c>
      <c r="L112" s="161" t="s">
        <v>155</v>
      </c>
      <c r="M112" s="163" t="s">
        <v>128</v>
      </c>
      <c r="N112" s="178" t="s">
        <v>27</v>
      </c>
      <c r="O112" s="198" t="s">
        <v>27</v>
      </c>
      <c r="P112" s="200">
        <v>2.56</v>
      </c>
      <c r="Q112" s="202">
        <v>2.5499999999999998</v>
      </c>
      <c r="R112" s="154"/>
      <c r="S112" s="153"/>
      <c r="T112" s="204" t="s">
        <v>62</v>
      </c>
      <c r="U112" s="132" t="str">
        <f t="shared" si="3"/>
        <v/>
      </c>
      <c r="V112" s="152"/>
      <c r="W112" s="152"/>
      <c r="X112" s="153"/>
      <c r="Y112" s="226" t="str">
        <f>IF(Q112&lt;&gt;"",IF(Q112&lt;=1.2,IF(O112="A","CR",IF(V112&lt;&gt;"",IF(Parametre_2018!N$4=1,IF(LEFT(V112,1)="1",IF(V112&lt;&gt;"",IF(Parametre_2018!O$4&lt;&gt;"",IF(N112&lt;=Parametre_2018!O$4,IF(V112&lt;&gt;"",IF(Parametre_2018!P$4&lt;&gt;"",IF(O112&lt;=Parametre_2018!P$4,"PLD",""),"PLD"),""),""),IF(V112&lt;&gt;"",IF(Parametre_2018!P$4&lt;&gt;"",IF(O112&lt;=Parametre_2018!P$4,"PLD",""),"PLD"),"")),""),""),IF(V112&lt;&gt;"",IF(Parametre_2018!O$4&lt;&gt;"",IF(N112&lt;=Parametre_2018!O$4,IF(V112&lt;&gt;"",IF(Parametre_2018!P$4&lt;&gt;"",IF(O112&lt;=Parametre_2018!P$4,"PLD",""),"PLD"),""),""),IF(V112&lt;&gt;"",IF(Parametre_2018!P$4&lt;&gt;"",IF(O112&lt;=Parametre_2018!P$4,"PLD",""),"PLD"),"")),"")),"")),IF(V112&lt;&gt;"",IF(Parametre_2018!N$4=1,IF(LEFT(V112,1)="1",IF(V112&lt;&gt;"",IF(Parametre_2018!O$4&lt;&gt;"",IF(N112&lt;=Parametre_2018!O$4,IF(V112&lt;&gt;"",IF(Parametre_2018!P$4&lt;&gt;"",IF(O112&lt;=Parametre_2018!P$4,"PLD",""),"PLD"),""),""),IF(V112&lt;&gt;"",IF(Parametre_2018!P$4&lt;&gt;"",IF(O112&lt;=Parametre_2018!P$4,"PLD",""),"PLD"),"")),""),""),IF(V112&lt;&gt;"",IF(Parametre_2018!O$4&lt;&gt;"",IF(N112&lt;=Parametre_2018!O$4,IF(V112&lt;&gt;"",IF(Parametre_2018!P$4&lt;&gt;"",IF(O112&lt;=Parametre_2018!P$4,"PLD",""),"PLD"),""),""),IF(V112&lt;&gt;"",IF(Parametre_2018!P$4&lt;&gt;"",IF(O112&lt;=Parametre_2018!P$4,"PLD",""),"PLD"),"")),"")),"")),"")</f>
        <v/>
      </c>
      <c r="Z112" s="152"/>
      <c r="AA112" s="227"/>
      <c r="AB112" s="228" t="str">
        <f>IF(Q112&lt;&gt;"",IF(Q112&lt;=Parametre_2018!B$4,IF(Parametre_2018!C$4&lt;&gt;"",IF(N112&lt;=Parametre_2018!C$4,IF(Parametre_2018!D$4&lt;&gt;"",IF(O112&lt;=Parametre_2018!D$4,"MCL",IF(Parametre_2018!I$4&lt;&gt;"",IF(N112&lt;=Parametre_2018!I$4,IF(Parametre_2018!J$4&lt;&gt;"",IF(O112&lt;=Parametre_2018!J$4,"CL",""),"CL"),""),IF(Parametre_2018!J$4&lt;&gt;"",IF(O112&lt;=Parametre_2018!J$4,"CL",""),"CL"))),"MCL"),IF(Parametre_2018!I$4&lt;&gt;"",IF(N112&lt;=Parametre_2018!I$4,IF(Parametre_2018!J$4&lt;&gt;"",IF(O112&lt;=Parametre_2018!J$4,"CL",""),"CL"),""),IF(Parametre_2018!J$4&lt;&gt;"",IF(O112&lt;=Parametre_2018!J$4,"CL",""),"CL"))),IF(Parametre_2018!D$4&lt;&gt;"",IF(O112&lt;=Parametre_2018!D$4,"MCL",IF(Parametre_2018!I$4&lt;&gt;"",IF(N112&lt;=Parametre_2018!I$4,IF(Parametre_2018!J$4&lt;&gt;"",IF(O112&lt;=Parametre_2018!J$4,"CL",""),"CL"),""),IF(Parametre_2018!J$4&lt;&gt;"",IF(O112&lt;=Parametre_2018!J$4,"CL",""),"CL"))),"MCL")),IF(Q112&lt;&gt;"",IF(AND(Q112&gt;Parametre_2018!B$4,Q112&lt;=Parametre_2018!H$4),IF(Parametre_2018!I$4&lt;&gt;"",IF(N112&lt;=Parametre_2018!I$4,IF(Parametre_2018!J$4&lt;&gt;"",IF(O112&lt;=Parametre_2018!J$4,"CL",""),"CL"),""),IF(Parametre_2018!J$4&lt;&gt;"",IF(O112&lt;=Parametre_2018!J$4,"CL",""),"CL")),""),"")),"")</f>
        <v/>
      </c>
      <c r="AC112" s="153"/>
      <c r="AD112" s="74"/>
      <c r="AE112" s="153"/>
      <c r="AF112" s="153"/>
    </row>
    <row r="113" spans="1:43" ht="48.75" customHeight="1" x14ac:dyDescent="0.25">
      <c r="A113" s="152">
        <v>98</v>
      </c>
      <c r="B113" s="152" t="s">
        <v>504</v>
      </c>
      <c r="C113" s="183" t="s">
        <v>447</v>
      </c>
      <c r="D113" s="183" t="s">
        <v>448</v>
      </c>
      <c r="E113" s="184" t="s">
        <v>50</v>
      </c>
      <c r="F113" s="185" t="s">
        <v>471</v>
      </c>
      <c r="G113" s="186">
        <v>43263</v>
      </c>
      <c r="H113" s="192" t="s">
        <v>47</v>
      </c>
      <c r="I113" s="192" t="s">
        <v>19</v>
      </c>
      <c r="J113" s="172" t="s">
        <v>475</v>
      </c>
      <c r="K113" s="164" t="s">
        <v>284</v>
      </c>
      <c r="L113" s="161" t="s">
        <v>166</v>
      </c>
      <c r="M113" s="163" t="s">
        <v>150</v>
      </c>
      <c r="N113" s="178" t="s">
        <v>25</v>
      </c>
      <c r="O113" s="198" t="s">
        <v>61</v>
      </c>
      <c r="P113" s="200">
        <v>2.2799999999999998</v>
      </c>
      <c r="Q113" s="202">
        <v>2.56</v>
      </c>
      <c r="R113" s="213"/>
      <c r="S113" s="174"/>
      <c r="T113" s="174"/>
      <c r="U113" s="132" t="str">
        <f t="shared" si="3"/>
        <v/>
      </c>
      <c r="V113" s="152"/>
      <c r="W113" s="152"/>
      <c r="X113" s="155"/>
      <c r="Y113" s="226" t="str">
        <f>IF(Q113&lt;&gt;"",IF(Q113&lt;=1.2,IF(O113="A","CR",IF(V113&lt;&gt;"",IF(Parametre_2018!N$4=1,IF(LEFT(V113,1)="1",IF(V113&lt;&gt;"",IF(Parametre_2018!O$4&lt;&gt;"",IF(N113&lt;=Parametre_2018!O$4,IF(V113&lt;&gt;"",IF(Parametre_2018!P$4&lt;&gt;"",IF(O113&lt;=Parametre_2018!P$4,"PLD",""),"PLD"),""),""),IF(V113&lt;&gt;"",IF(Parametre_2018!P$4&lt;&gt;"",IF(O113&lt;=Parametre_2018!P$4,"PLD",""),"PLD"),"")),""),""),IF(V113&lt;&gt;"",IF(Parametre_2018!O$4&lt;&gt;"",IF(N113&lt;=Parametre_2018!O$4,IF(V113&lt;&gt;"",IF(Parametre_2018!P$4&lt;&gt;"",IF(O113&lt;=Parametre_2018!P$4,"PLD",""),"PLD"),""),""),IF(V113&lt;&gt;"",IF(Parametre_2018!P$4&lt;&gt;"",IF(O113&lt;=Parametre_2018!P$4,"PLD",""),"PLD"),"")),"")),"")),IF(V113&lt;&gt;"",IF(Parametre_2018!N$4=1,IF(LEFT(V113,1)="1",IF(V113&lt;&gt;"",IF(Parametre_2018!O$4&lt;&gt;"",IF(N113&lt;=Parametre_2018!O$4,IF(V113&lt;&gt;"",IF(Parametre_2018!P$4&lt;&gt;"",IF(O113&lt;=Parametre_2018!P$4,"PLD",""),"PLD"),""),""),IF(V113&lt;&gt;"",IF(Parametre_2018!P$4&lt;&gt;"",IF(O113&lt;=Parametre_2018!P$4,"PLD",""),"PLD"),"")),""),""),IF(V113&lt;&gt;"",IF(Parametre_2018!O$4&lt;&gt;"",IF(N113&lt;=Parametre_2018!O$4,IF(V113&lt;&gt;"",IF(Parametre_2018!P$4&lt;&gt;"",IF(O113&lt;=Parametre_2018!P$4,"PLD",""),"PLD"),""),""),IF(V113&lt;&gt;"",IF(Parametre_2018!P$4&lt;&gt;"",IF(O113&lt;=Parametre_2018!P$4,"PLD",""),"PLD"),"")),"")),"")),"")</f>
        <v/>
      </c>
      <c r="Z113" s="152"/>
      <c r="AA113" s="227"/>
      <c r="AB113" s="228" t="str">
        <f>IF(Q113&lt;&gt;"",IF(Q113&lt;=Parametre_2018!B$4,IF(Parametre_2018!C$4&lt;&gt;"",IF(N113&lt;=Parametre_2018!C$4,IF(Parametre_2018!D$4&lt;&gt;"",IF(O113&lt;=Parametre_2018!D$4,"MCL",IF(Parametre_2018!I$4&lt;&gt;"",IF(N113&lt;=Parametre_2018!I$4,IF(Parametre_2018!J$4&lt;&gt;"",IF(O113&lt;=Parametre_2018!J$4,"CL",""),"CL"),""),IF(Parametre_2018!J$4&lt;&gt;"",IF(O113&lt;=Parametre_2018!J$4,"CL",""),"CL"))),"MCL"),IF(Parametre_2018!I$4&lt;&gt;"",IF(N113&lt;=Parametre_2018!I$4,IF(Parametre_2018!J$4&lt;&gt;"",IF(O113&lt;=Parametre_2018!J$4,"CL",""),"CL"),""),IF(Parametre_2018!J$4&lt;&gt;"",IF(O113&lt;=Parametre_2018!J$4,"CL",""),"CL"))),IF(Parametre_2018!D$4&lt;&gt;"",IF(O113&lt;=Parametre_2018!D$4,"MCL",IF(Parametre_2018!I$4&lt;&gt;"",IF(N113&lt;=Parametre_2018!I$4,IF(Parametre_2018!J$4&lt;&gt;"",IF(O113&lt;=Parametre_2018!J$4,"CL",""),"CL"),""),IF(Parametre_2018!J$4&lt;&gt;"",IF(O113&lt;=Parametre_2018!J$4,"CL",""),"CL"))),"MCL")),IF(Q113&lt;&gt;"",IF(AND(Q113&gt;Parametre_2018!B$4,Q113&lt;=Parametre_2018!H$4),IF(Parametre_2018!I$4&lt;&gt;"",IF(N113&lt;=Parametre_2018!I$4,IF(Parametre_2018!J$4&lt;&gt;"",IF(O113&lt;=Parametre_2018!J$4,"CL",""),"CL"),""),IF(Parametre_2018!J$4&lt;&gt;"",IF(O113&lt;=Parametre_2018!J$4,"CL",""),"CL")),""),"")),"")</f>
        <v/>
      </c>
      <c r="AC113" s="155"/>
      <c r="AD113" s="74"/>
      <c r="AE113" s="155"/>
      <c r="AF113" s="175"/>
    </row>
    <row r="114" spans="1:43" ht="48.75" customHeight="1" x14ac:dyDescent="0.25">
      <c r="A114" s="152">
        <v>16</v>
      </c>
      <c r="B114" s="152" t="s">
        <v>62</v>
      </c>
      <c r="C114" s="183" t="s">
        <v>332</v>
      </c>
      <c r="D114" s="183" t="s">
        <v>333</v>
      </c>
      <c r="E114" s="184" t="s">
        <v>50</v>
      </c>
      <c r="F114" s="185" t="s">
        <v>471</v>
      </c>
      <c r="G114" s="195">
        <v>43262</v>
      </c>
      <c r="H114" s="187" t="s">
        <v>489</v>
      </c>
      <c r="I114" s="187" t="s">
        <v>18</v>
      </c>
      <c r="J114" s="193" t="s">
        <v>490</v>
      </c>
      <c r="K114" s="164" t="s">
        <v>202</v>
      </c>
      <c r="L114" s="161" t="s">
        <v>129</v>
      </c>
      <c r="M114" s="163" t="s">
        <v>116</v>
      </c>
      <c r="N114" s="177" t="s">
        <v>59</v>
      </c>
      <c r="O114" s="198" t="s">
        <v>59</v>
      </c>
      <c r="P114" s="200">
        <v>2.68</v>
      </c>
      <c r="Q114" s="202">
        <v>2.58</v>
      </c>
      <c r="R114" s="152"/>
      <c r="S114" s="152"/>
      <c r="T114" s="152"/>
      <c r="U114" s="132" t="str">
        <f t="shared" si="3"/>
        <v/>
      </c>
      <c r="V114" s="55"/>
      <c r="W114" s="55"/>
      <c r="X114" s="58"/>
      <c r="Y114" s="226" t="str">
        <f>IF(Q114&lt;&gt;"",IF(Q114&lt;=1.2,IF(O114="A","CR",IF(V114&lt;&gt;"",IF(Parametre_2018!N$4=1,IF(LEFT(V114,1)="1",IF(V114&lt;&gt;"",IF(Parametre_2018!O$4&lt;&gt;"",IF(N114&lt;=Parametre_2018!O$4,IF(V114&lt;&gt;"",IF(Parametre_2018!P$4&lt;&gt;"",IF(O114&lt;=Parametre_2018!P$4,"PLD",""),"PLD"),""),""),IF(V114&lt;&gt;"",IF(Parametre_2018!P$4&lt;&gt;"",IF(O114&lt;=Parametre_2018!P$4,"PLD",""),"PLD"),"")),""),""),IF(V114&lt;&gt;"",IF(Parametre_2018!O$4&lt;&gt;"",IF(N114&lt;=Parametre_2018!O$4,IF(V114&lt;&gt;"",IF(Parametre_2018!P$4&lt;&gt;"",IF(O114&lt;=Parametre_2018!P$4,"PLD",""),"PLD"),""),""),IF(V114&lt;&gt;"",IF(Parametre_2018!P$4&lt;&gt;"",IF(O114&lt;=Parametre_2018!P$4,"PLD",""),"PLD"),"")),"")),"")),IF(V114&lt;&gt;"",IF(Parametre_2018!N$4=1,IF(LEFT(V114,1)="1",IF(V114&lt;&gt;"",IF(Parametre_2018!O$4&lt;&gt;"",IF(N114&lt;=Parametre_2018!O$4,IF(V114&lt;&gt;"",IF(Parametre_2018!P$4&lt;&gt;"",IF(O114&lt;=Parametre_2018!P$4,"PLD",""),"PLD"),""),""),IF(V114&lt;&gt;"",IF(Parametre_2018!P$4&lt;&gt;"",IF(O114&lt;=Parametre_2018!P$4,"PLD",""),"PLD"),"")),""),""),IF(V114&lt;&gt;"",IF(Parametre_2018!O$4&lt;&gt;"",IF(N114&lt;=Parametre_2018!O$4,IF(V114&lt;&gt;"",IF(Parametre_2018!P$4&lt;&gt;"",IF(O114&lt;=Parametre_2018!P$4,"PLD",""),"PLD"),""),""),IF(V114&lt;&gt;"",IF(Parametre_2018!P$4&lt;&gt;"",IF(O114&lt;=Parametre_2018!P$4,"PLD",""),"PLD"),"")),"")),"")),"")</f>
        <v/>
      </c>
      <c r="Z114" s="58"/>
      <c r="AA114" s="227"/>
      <c r="AB114" s="228" t="str">
        <f>IF(Q114&lt;&gt;"",IF(Q114&lt;=Parametre_2018!B$4,IF(Parametre_2018!C$4&lt;&gt;"",IF(N114&lt;=Parametre_2018!C$4,IF(Parametre_2018!D$4&lt;&gt;"",IF(O114&lt;=Parametre_2018!D$4,"MCL",IF(Parametre_2018!I$4&lt;&gt;"",IF(N114&lt;=Parametre_2018!I$4,IF(Parametre_2018!J$4&lt;&gt;"",IF(O114&lt;=Parametre_2018!J$4,"CL",""),"CL"),""),IF(Parametre_2018!J$4&lt;&gt;"",IF(O114&lt;=Parametre_2018!J$4,"CL",""),"CL"))),"MCL"),IF(Parametre_2018!I$4&lt;&gt;"",IF(N114&lt;=Parametre_2018!I$4,IF(Parametre_2018!J$4&lt;&gt;"",IF(O114&lt;=Parametre_2018!J$4,"CL",""),"CL"),""),IF(Parametre_2018!J$4&lt;&gt;"",IF(O114&lt;=Parametre_2018!J$4,"CL",""),"CL"))),IF(Parametre_2018!D$4&lt;&gt;"",IF(O114&lt;=Parametre_2018!D$4,"MCL",IF(Parametre_2018!I$4&lt;&gt;"",IF(N114&lt;=Parametre_2018!I$4,IF(Parametre_2018!J$4&lt;&gt;"",IF(O114&lt;=Parametre_2018!J$4,"CL",""),"CL"),""),IF(Parametre_2018!J$4&lt;&gt;"",IF(O114&lt;=Parametre_2018!J$4,"CL",""),"CL"))),"MCL")),IF(Q114&lt;&gt;"",IF(AND(Q114&gt;Parametre_2018!B$4,Q114&lt;=Parametre_2018!H$4),IF(Parametre_2018!I$4&lt;&gt;"",IF(N114&lt;=Parametre_2018!I$4,IF(Parametre_2018!J$4&lt;&gt;"",IF(O114&lt;=Parametre_2018!J$4,"CL",""),"CL"),""),IF(Parametre_2018!J$4&lt;&gt;"",IF(O114&lt;=Parametre_2018!J$4,"CL",""),"CL")),""),"")),"")</f>
        <v/>
      </c>
      <c r="AC114" s="89"/>
      <c r="AD114" s="74"/>
      <c r="AE114" s="77"/>
      <c r="AF114" s="54"/>
    </row>
    <row r="115" spans="1:43" ht="48.75" customHeight="1" x14ac:dyDescent="0.25">
      <c r="A115" s="152">
        <v>5</v>
      </c>
      <c r="B115" s="152" t="s">
        <v>62</v>
      </c>
      <c r="C115" s="183" t="s">
        <v>312</v>
      </c>
      <c r="D115" s="183" t="s">
        <v>54</v>
      </c>
      <c r="E115" s="184" t="s">
        <v>50</v>
      </c>
      <c r="F115" s="185" t="s">
        <v>471</v>
      </c>
      <c r="G115" s="195">
        <v>43262</v>
      </c>
      <c r="H115" s="187" t="s">
        <v>491</v>
      </c>
      <c r="I115" s="187" t="s">
        <v>44</v>
      </c>
      <c r="J115" s="155" t="s">
        <v>492</v>
      </c>
      <c r="K115" s="164" t="s">
        <v>191</v>
      </c>
      <c r="L115" s="161" t="s">
        <v>120</v>
      </c>
      <c r="M115" s="163" t="s">
        <v>119</v>
      </c>
      <c r="N115" s="177" t="s">
        <v>27</v>
      </c>
      <c r="O115" s="198" t="s">
        <v>25</v>
      </c>
      <c r="P115" s="200">
        <v>2.56</v>
      </c>
      <c r="Q115" s="202">
        <v>2.63</v>
      </c>
      <c r="R115" s="152"/>
      <c r="S115" s="152"/>
      <c r="T115" s="152"/>
      <c r="U115" s="132" t="str">
        <f t="shared" si="3"/>
        <v/>
      </c>
      <c r="V115" s="55"/>
      <c r="W115" s="55"/>
      <c r="X115" s="58"/>
      <c r="Y115" s="226" t="str">
        <f>IF(Q115&lt;&gt;"",IF(Q115&lt;=1.2,IF(O115="A","CR",IF(V115&lt;&gt;"",IF(Parametre_2018!N$4=1,IF(LEFT(V115,1)="1",IF(V115&lt;&gt;"",IF(Parametre_2018!O$4&lt;&gt;"",IF(N115&lt;=Parametre_2018!O$4,IF(V115&lt;&gt;"",IF(Parametre_2018!P$4&lt;&gt;"",IF(O115&lt;=Parametre_2018!P$4,"PLD",""),"PLD"),""),""),IF(V115&lt;&gt;"",IF(Parametre_2018!P$4&lt;&gt;"",IF(O115&lt;=Parametre_2018!P$4,"PLD",""),"PLD"),"")),""),""),IF(V115&lt;&gt;"",IF(Parametre_2018!O$4&lt;&gt;"",IF(N115&lt;=Parametre_2018!O$4,IF(V115&lt;&gt;"",IF(Parametre_2018!P$4&lt;&gt;"",IF(O115&lt;=Parametre_2018!P$4,"PLD",""),"PLD"),""),""),IF(V115&lt;&gt;"",IF(Parametre_2018!P$4&lt;&gt;"",IF(O115&lt;=Parametre_2018!P$4,"PLD",""),"PLD"),"")),"")),"")),IF(V115&lt;&gt;"",IF(Parametre_2018!N$4=1,IF(LEFT(V115,1)="1",IF(V115&lt;&gt;"",IF(Parametre_2018!O$4&lt;&gt;"",IF(N115&lt;=Parametre_2018!O$4,IF(V115&lt;&gt;"",IF(Parametre_2018!P$4&lt;&gt;"",IF(O115&lt;=Parametre_2018!P$4,"PLD",""),"PLD"),""),""),IF(V115&lt;&gt;"",IF(Parametre_2018!P$4&lt;&gt;"",IF(O115&lt;=Parametre_2018!P$4,"PLD",""),"PLD"),"")),""),""),IF(V115&lt;&gt;"",IF(Parametre_2018!O$4&lt;&gt;"",IF(N115&lt;=Parametre_2018!O$4,IF(V115&lt;&gt;"",IF(Parametre_2018!P$4&lt;&gt;"",IF(O115&lt;=Parametre_2018!P$4,"PLD",""),"PLD"),""),""),IF(V115&lt;&gt;"",IF(Parametre_2018!P$4&lt;&gt;"",IF(O115&lt;=Parametre_2018!P$4,"PLD",""),"PLD"),"")),"")),"")),"")</f>
        <v/>
      </c>
      <c r="Z115" s="58"/>
      <c r="AA115" s="229"/>
      <c r="AB115" s="228" t="str">
        <f>IF(Q115&lt;&gt;"",IF(Q115&lt;=Parametre_2018!B$4,IF(Parametre_2018!C$4&lt;&gt;"",IF(N115&lt;=Parametre_2018!C$4,IF(Parametre_2018!D$4&lt;&gt;"",IF(O115&lt;=Parametre_2018!D$4,"MCL",IF(Parametre_2018!I$4&lt;&gt;"",IF(N115&lt;=Parametre_2018!I$4,IF(Parametre_2018!J$4&lt;&gt;"",IF(O115&lt;=Parametre_2018!J$4,"CL",""),"CL"),""),IF(Parametre_2018!J$4&lt;&gt;"",IF(O115&lt;=Parametre_2018!J$4,"CL",""),"CL"))),"MCL"),IF(Parametre_2018!I$4&lt;&gt;"",IF(N115&lt;=Parametre_2018!I$4,IF(Parametre_2018!J$4&lt;&gt;"",IF(O115&lt;=Parametre_2018!J$4,"CL",""),"CL"),""),IF(Parametre_2018!J$4&lt;&gt;"",IF(O115&lt;=Parametre_2018!J$4,"CL",""),"CL"))),IF(Parametre_2018!D$4&lt;&gt;"",IF(O115&lt;=Parametre_2018!D$4,"MCL",IF(Parametre_2018!I$4&lt;&gt;"",IF(N115&lt;=Parametre_2018!I$4,IF(Parametre_2018!J$4&lt;&gt;"",IF(O115&lt;=Parametre_2018!J$4,"CL",""),"CL"),""),IF(Parametre_2018!J$4&lt;&gt;"",IF(O115&lt;=Parametre_2018!J$4,"CL",""),"CL"))),"MCL")),IF(Q115&lt;&gt;"",IF(AND(Q115&gt;Parametre_2018!B$4,Q115&lt;=Parametre_2018!H$4),IF(Parametre_2018!I$4&lt;&gt;"",IF(N115&lt;=Parametre_2018!I$4,IF(Parametre_2018!J$4&lt;&gt;"",IF(O115&lt;=Parametre_2018!J$4,"CL",""),"CL"),""),IF(Parametre_2018!J$4&lt;&gt;"",IF(O115&lt;=Parametre_2018!J$4,"CL",""),"CL")),""),"")),"")</f>
        <v/>
      </c>
      <c r="AC115" s="89"/>
      <c r="AD115" s="74"/>
      <c r="AE115" s="77"/>
      <c r="AF115" s="54"/>
    </row>
    <row r="116" spans="1:43" ht="48.75" customHeight="1" x14ac:dyDescent="0.25">
      <c r="A116" s="152">
        <v>13</v>
      </c>
      <c r="B116" s="152" t="s">
        <v>62</v>
      </c>
      <c r="C116" s="183" t="s">
        <v>326</v>
      </c>
      <c r="D116" s="183" t="s">
        <v>327</v>
      </c>
      <c r="E116" s="184" t="s">
        <v>50</v>
      </c>
      <c r="F116" s="185" t="s">
        <v>471</v>
      </c>
      <c r="G116" s="195">
        <v>43262</v>
      </c>
      <c r="H116" s="192" t="s">
        <v>498</v>
      </c>
      <c r="I116" s="191" t="s">
        <v>480</v>
      </c>
      <c r="J116" s="169" t="s">
        <v>499</v>
      </c>
      <c r="K116" s="164" t="s">
        <v>199</v>
      </c>
      <c r="L116" s="161" t="s">
        <v>127</v>
      </c>
      <c r="M116" s="163" t="s">
        <v>161</v>
      </c>
      <c r="N116" s="178" t="s">
        <v>25</v>
      </c>
      <c r="O116" s="198" t="s">
        <v>25</v>
      </c>
      <c r="P116" s="200">
        <v>2.65</v>
      </c>
      <c r="Q116" s="202">
        <v>2.71</v>
      </c>
      <c r="R116" s="152"/>
      <c r="S116" s="152"/>
      <c r="T116" s="152"/>
      <c r="U116" s="132" t="str">
        <f t="shared" si="3"/>
        <v/>
      </c>
      <c r="V116" s="55"/>
      <c r="W116" s="55"/>
      <c r="X116" s="58"/>
      <c r="Y116" s="226" t="str">
        <f>IF(Q116&lt;&gt;"",IF(Q116&lt;=1.2,IF(O116="A","CR",IF(V116&lt;&gt;"",IF(Parametre_2018!N$4=1,IF(LEFT(V116,1)="1",IF(V116&lt;&gt;"",IF(Parametre_2018!O$4&lt;&gt;"",IF(N116&lt;=Parametre_2018!O$4,IF(V116&lt;&gt;"",IF(Parametre_2018!P$4&lt;&gt;"",IF(O116&lt;=Parametre_2018!P$4,"PLD",""),"PLD"),""),""),IF(V116&lt;&gt;"",IF(Parametre_2018!P$4&lt;&gt;"",IF(O116&lt;=Parametre_2018!P$4,"PLD",""),"PLD"),"")),""),""),IF(V116&lt;&gt;"",IF(Parametre_2018!O$4&lt;&gt;"",IF(N116&lt;=Parametre_2018!O$4,IF(V116&lt;&gt;"",IF(Parametre_2018!P$4&lt;&gt;"",IF(O116&lt;=Parametre_2018!P$4,"PLD",""),"PLD"),""),""),IF(V116&lt;&gt;"",IF(Parametre_2018!P$4&lt;&gt;"",IF(O116&lt;=Parametre_2018!P$4,"PLD",""),"PLD"),"")),"")),"")),IF(V116&lt;&gt;"",IF(Parametre_2018!N$4=1,IF(LEFT(V116,1)="1",IF(V116&lt;&gt;"",IF(Parametre_2018!O$4&lt;&gt;"",IF(N116&lt;=Parametre_2018!O$4,IF(V116&lt;&gt;"",IF(Parametre_2018!P$4&lt;&gt;"",IF(O116&lt;=Parametre_2018!P$4,"PLD",""),"PLD"),""),""),IF(V116&lt;&gt;"",IF(Parametre_2018!P$4&lt;&gt;"",IF(O116&lt;=Parametre_2018!P$4,"PLD",""),"PLD"),"")),""),""),IF(V116&lt;&gt;"",IF(Parametre_2018!O$4&lt;&gt;"",IF(N116&lt;=Parametre_2018!O$4,IF(V116&lt;&gt;"",IF(Parametre_2018!P$4&lt;&gt;"",IF(O116&lt;=Parametre_2018!P$4,"PLD",""),"PLD"),""),""),IF(V116&lt;&gt;"",IF(Parametre_2018!P$4&lt;&gt;"",IF(O116&lt;=Parametre_2018!P$4,"PLD",""),"PLD"),"")),"")),"")),"")</f>
        <v/>
      </c>
      <c r="Z116" s="58"/>
      <c r="AA116" s="227"/>
      <c r="AB116" s="228" t="str">
        <f>IF(Q116&lt;&gt;"",IF(Q116&lt;=Parametre_2018!B$4,IF(Parametre_2018!C$4&lt;&gt;"",IF(N116&lt;=Parametre_2018!C$4,IF(Parametre_2018!D$4&lt;&gt;"",IF(O116&lt;=Parametre_2018!D$4,"MCL",IF(Parametre_2018!I$4&lt;&gt;"",IF(N116&lt;=Parametre_2018!I$4,IF(Parametre_2018!J$4&lt;&gt;"",IF(O116&lt;=Parametre_2018!J$4,"CL",""),"CL"),""),IF(Parametre_2018!J$4&lt;&gt;"",IF(O116&lt;=Parametre_2018!J$4,"CL",""),"CL"))),"MCL"),IF(Parametre_2018!I$4&lt;&gt;"",IF(N116&lt;=Parametre_2018!I$4,IF(Parametre_2018!J$4&lt;&gt;"",IF(O116&lt;=Parametre_2018!J$4,"CL",""),"CL"),""),IF(Parametre_2018!J$4&lt;&gt;"",IF(O116&lt;=Parametre_2018!J$4,"CL",""),"CL"))),IF(Parametre_2018!D$4&lt;&gt;"",IF(O116&lt;=Parametre_2018!D$4,"MCL",IF(Parametre_2018!I$4&lt;&gt;"",IF(N116&lt;=Parametre_2018!I$4,IF(Parametre_2018!J$4&lt;&gt;"",IF(O116&lt;=Parametre_2018!J$4,"CL",""),"CL"),""),IF(Parametre_2018!J$4&lt;&gt;"",IF(O116&lt;=Parametre_2018!J$4,"CL",""),"CL"))),"MCL")),IF(Q116&lt;&gt;"",IF(AND(Q116&gt;Parametre_2018!B$4,Q116&lt;=Parametre_2018!H$4),IF(Parametre_2018!I$4&lt;&gt;"",IF(N116&lt;=Parametre_2018!I$4,IF(Parametre_2018!J$4&lt;&gt;"",IF(O116&lt;=Parametre_2018!J$4,"CL",""),"CL"),""),IF(Parametre_2018!J$4&lt;&gt;"",IF(O116&lt;=Parametre_2018!J$4,"CL",""),"CL")),""),"")),"")</f>
        <v/>
      </c>
      <c r="AC116" s="89"/>
      <c r="AD116" s="74"/>
      <c r="AE116" s="77"/>
      <c r="AF116" s="54"/>
    </row>
    <row r="117" spans="1:43" ht="48.75" customHeight="1" x14ac:dyDescent="0.25">
      <c r="A117" s="152">
        <v>47</v>
      </c>
      <c r="B117" s="152" t="s">
        <v>62</v>
      </c>
      <c r="C117" s="183" t="s">
        <v>380</v>
      </c>
      <c r="D117" s="183" t="s">
        <v>335</v>
      </c>
      <c r="E117" s="184" t="s">
        <v>50</v>
      </c>
      <c r="F117" s="185" t="s">
        <v>470</v>
      </c>
      <c r="G117" s="195">
        <v>43262</v>
      </c>
      <c r="H117" s="192" t="s">
        <v>498</v>
      </c>
      <c r="I117" s="192" t="s">
        <v>480</v>
      </c>
      <c r="J117" s="172" t="s">
        <v>499</v>
      </c>
      <c r="K117" s="164" t="s">
        <v>233</v>
      </c>
      <c r="L117" s="161" t="s">
        <v>146</v>
      </c>
      <c r="M117" s="163" t="s">
        <v>148</v>
      </c>
      <c r="N117" s="180" t="s">
        <v>25</v>
      </c>
      <c r="O117" s="198" t="s">
        <v>25</v>
      </c>
      <c r="P117" s="200">
        <v>2.74</v>
      </c>
      <c r="Q117" s="202">
        <v>2.77</v>
      </c>
      <c r="R117" s="208"/>
      <c r="S117" s="168"/>
      <c r="T117" s="168"/>
      <c r="U117" s="132" t="str">
        <f t="shared" si="3"/>
        <v/>
      </c>
      <c r="V117" s="180"/>
      <c r="W117" s="180"/>
      <c r="X117" s="168"/>
      <c r="Y117" s="226" t="str">
        <f>IF(Q117&lt;&gt;"",IF(Q117&lt;=1.2,IF(O117="A","CR",IF(V117&lt;&gt;"",IF(Parametre_2018!N$4=1,IF(LEFT(V117,1)="1",IF(V117&lt;&gt;"",IF(Parametre_2018!O$4&lt;&gt;"",IF(N117&lt;=Parametre_2018!O$4,IF(V117&lt;&gt;"",IF(Parametre_2018!P$4&lt;&gt;"",IF(O117&lt;=Parametre_2018!P$4,"PLD",""),"PLD"),""),""),IF(V117&lt;&gt;"",IF(Parametre_2018!P$4&lt;&gt;"",IF(O117&lt;=Parametre_2018!P$4,"PLD",""),"PLD"),"")),""),""),IF(V117&lt;&gt;"",IF(Parametre_2018!O$4&lt;&gt;"",IF(N117&lt;=Parametre_2018!O$4,IF(V117&lt;&gt;"",IF(Parametre_2018!P$4&lt;&gt;"",IF(O117&lt;=Parametre_2018!P$4,"PLD",""),"PLD"),""),""),IF(V117&lt;&gt;"",IF(Parametre_2018!P$4&lt;&gt;"",IF(O117&lt;=Parametre_2018!P$4,"PLD",""),"PLD"),"")),"")),"")),IF(V117&lt;&gt;"",IF(Parametre_2018!N$4=1,IF(LEFT(V117,1)="1",IF(V117&lt;&gt;"",IF(Parametre_2018!O$4&lt;&gt;"",IF(N117&lt;=Parametre_2018!O$4,IF(V117&lt;&gt;"",IF(Parametre_2018!P$4&lt;&gt;"",IF(O117&lt;=Parametre_2018!P$4,"PLD",""),"PLD"),""),""),IF(V117&lt;&gt;"",IF(Parametre_2018!P$4&lt;&gt;"",IF(O117&lt;=Parametre_2018!P$4,"PLD",""),"PLD"),"")),""),""),IF(V117&lt;&gt;"",IF(Parametre_2018!O$4&lt;&gt;"",IF(N117&lt;=Parametre_2018!O$4,IF(V117&lt;&gt;"",IF(Parametre_2018!P$4&lt;&gt;"",IF(O117&lt;=Parametre_2018!P$4,"PLD",""),"PLD"),""),""),IF(V117&lt;&gt;"",IF(Parametre_2018!P$4&lt;&gt;"",IF(O117&lt;=Parametre_2018!P$4,"PLD",""),"PLD"),"")),"")),"")),"")</f>
        <v/>
      </c>
      <c r="Z117" s="180"/>
      <c r="AA117" s="227"/>
      <c r="AB117" s="228" t="str">
        <f>IF(Q117&lt;&gt;"",IF(Q117&lt;=Parametre_2018!B$4,IF(Parametre_2018!C$4&lt;&gt;"",IF(N117&lt;=Parametre_2018!C$4,IF(Parametre_2018!D$4&lt;&gt;"",IF(O117&lt;=Parametre_2018!D$4,"MCL",IF(Parametre_2018!I$4&lt;&gt;"",IF(N117&lt;=Parametre_2018!I$4,IF(Parametre_2018!J$4&lt;&gt;"",IF(O117&lt;=Parametre_2018!J$4,"CL",""),"CL"),""),IF(Parametre_2018!J$4&lt;&gt;"",IF(O117&lt;=Parametre_2018!J$4,"CL",""),"CL"))),"MCL"),IF(Parametre_2018!I$4&lt;&gt;"",IF(N117&lt;=Parametre_2018!I$4,IF(Parametre_2018!J$4&lt;&gt;"",IF(O117&lt;=Parametre_2018!J$4,"CL",""),"CL"),""),IF(Parametre_2018!J$4&lt;&gt;"",IF(O117&lt;=Parametre_2018!J$4,"CL",""),"CL"))),IF(Parametre_2018!D$4&lt;&gt;"",IF(O117&lt;=Parametre_2018!D$4,"MCL",IF(Parametre_2018!I$4&lt;&gt;"",IF(N117&lt;=Parametre_2018!I$4,IF(Parametre_2018!J$4&lt;&gt;"",IF(O117&lt;=Parametre_2018!J$4,"CL",""),"CL"),""),IF(Parametre_2018!J$4&lt;&gt;"",IF(O117&lt;=Parametre_2018!J$4,"CL",""),"CL"))),"MCL")),IF(Q117&lt;&gt;"",IF(AND(Q117&gt;Parametre_2018!B$4,Q117&lt;=Parametre_2018!H$4),IF(Parametre_2018!I$4&lt;&gt;"",IF(N117&lt;=Parametre_2018!I$4,IF(Parametre_2018!J$4&lt;&gt;"",IF(O117&lt;=Parametre_2018!J$4,"CL",""),"CL"),""),IF(Parametre_2018!J$4&lt;&gt;"",IF(O117&lt;=Parametre_2018!J$4,"CL",""),"CL")),""),"")),"")</f>
        <v/>
      </c>
      <c r="AC117" s="168"/>
      <c r="AD117" s="74"/>
      <c r="AE117" s="168"/>
      <c r="AF117" s="168"/>
    </row>
    <row r="118" spans="1:43" ht="48.75" customHeight="1" x14ac:dyDescent="0.25">
      <c r="A118" s="152">
        <v>92</v>
      </c>
      <c r="B118" s="152" t="s">
        <v>504</v>
      </c>
      <c r="C118" s="183" t="s">
        <v>440</v>
      </c>
      <c r="D118" s="183" t="s">
        <v>441</v>
      </c>
      <c r="E118" s="184" t="s">
        <v>50</v>
      </c>
      <c r="F118" s="185" t="s">
        <v>471</v>
      </c>
      <c r="G118" s="195">
        <v>43262</v>
      </c>
      <c r="H118" s="192" t="s">
        <v>500</v>
      </c>
      <c r="I118" s="192" t="s">
        <v>482</v>
      </c>
      <c r="J118" s="194" t="s">
        <v>501</v>
      </c>
      <c r="K118" s="164" t="s">
        <v>278</v>
      </c>
      <c r="L118" s="161" t="s">
        <v>123</v>
      </c>
      <c r="M118" s="163" t="s">
        <v>153</v>
      </c>
      <c r="N118" s="178" t="s">
        <v>61</v>
      </c>
      <c r="O118" s="198" t="s">
        <v>61</v>
      </c>
      <c r="P118" s="200">
        <v>2.57</v>
      </c>
      <c r="Q118" s="202">
        <v>2.79</v>
      </c>
      <c r="R118" s="213"/>
      <c r="S118" s="174"/>
      <c r="T118" s="174"/>
      <c r="U118" s="132" t="str">
        <f t="shared" si="3"/>
        <v/>
      </c>
      <c r="V118" s="152"/>
      <c r="W118" s="152"/>
      <c r="X118" s="155"/>
      <c r="Y118" s="226" t="str">
        <f>IF(Q118&lt;&gt;"",IF(Q118&lt;=1.2,IF(O118="A","CR",IF(V118&lt;&gt;"",IF(Parametre_2018!N$4=1,IF(LEFT(V118,1)="1",IF(V118&lt;&gt;"",IF(Parametre_2018!O$4&lt;&gt;"",IF(N118&lt;=Parametre_2018!O$4,IF(V118&lt;&gt;"",IF(Parametre_2018!P$4&lt;&gt;"",IF(O118&lt;=Parametre_2018!P$4,"PLD",""),"PLD"),""),""),IF(V118&lt;&gt;"",IF(Parametre_2018!P$4&lt;&gt;"",IF(O118&lt;=Parametre_2018!P$4,"PLD",""),"PLD"),"")),""),""),IF(V118&lt;&gt;"",IF(Parametre_2018!O$4&lt;&gt;"",IF(N118&lt;=Parametre_2018!O$4,IF(V118&lt;&gt;"",IF(Parametre_2018!P$4&lt;&gt;"",IF(O118&lt;=Parametre_2018!P$4,"PLD",""),"PLD"),""),""),IF(V118&lt;&gt;"",IF(Parametre_2018!P$4&lt;&gt;"",IF(O118&lt;=Parametre_2018!P$4,"PLD",""),"PLD"),"")),"")),"")),IF(V118&lt;&gt;"",IF(Parametre_2018!N$4=1,IF(LEFT(V118,1)="1",IF(V118&lt;&gt;"",IF(Parametre_2018!O$4&lt;&gt;"",IF(N118&lt;=Parametre_2018!O$4,IF(V118&lt;&gt;"",IF(Parametre_2018!P$4&lt;&gt;"",IF(O118&lt;=Parametre_2018!P$4,"PLD",""),"PLD"),""),""),IF(V118&lt;&gt;"",IF(Parametre_2018!P$4&lt;&gt;"",IF(O118&lt;=Parametre_2018!P$4,"PLD",""),"PLD"),"")),""),""),IF(V118&lt;&gt;"",IF(Parametre_2018!O$4&lt;&gt;"",IF(N118&lt;=Parametre_2018!O$4,IF(V118&lt;&gt;"",IF(Parametre_2018!P$4&lt;&gt;"",IF(O118&lt;=Parametre_2018!P$4,"PLD",""),"PLD"),""),""),IF(V118&lt;&gt;"",IF(Parametre_2018!P$4&lt;&gt;"",IF(O118&lt;=Parametre_2018!P$4,"PLD",""),"PLD"),"")),"")),"")),"")</f>
        <v/>
      </c>
      <c r="Z118" s="152"/>
      <c r="AA118" s="227"/>
      <c r="AB118" s="228" t="str">
        <f>IF(Q118&lt;&gt;"",IF(Q118&lt;=Parametre_2018!B$4,IF(Parametre_2018!C$4&lt;&gt;"",IF(N118&lt;=Parametre_2018!C$4,IF(Parametre_2018!D$4&lt;&gt;"",IF(O118&lt;=Parametre_2018!D$4,"MCL",IF(Parametre_2018!I$4&lt;&gt;"",IF(N118&lt;=Parametre_2018!I$4,IF(Parametre_2018!J$4&lt;&gt;"",IF(O118&lt;=Parametre_2018!J$4,"CL",""),"CL"),""),IF(Parametre_2018!J$4&lt;&gt;"",IF(O118&lt;=Parametre_2018!J$4,"CL",""),"CL"))),"MCL"),IF(Parametre_2018!I$4&lt;&gt;"",IF(N118&lt;=Parametre_2018!I$4,IF(Parametre_2018!J$4&lt;&gt;"",IF(O118&lt;=Parametre_2018!J$4,"CL",""),"CL"),""),IF(Parametre_2018!J$4&lt;&gt;"",IF(O118&lt;=Parametre_2018!J$4,"CL",""),"CL"))),IF(Parametre_2018!D$4&lt;&gt;"",IF(O118&lt;=Parametre_2018!D$4,"MCL",IF(Parametre_2018!I$4&lt;&gt;"",IF(N118&lt;=Parametre_2018!I$4,IF(Parametre_2018!J$4&lt;&gt;"",IF(O118&lt;=Parametre_2018!J$4,"CL",""),"CL"),""),IF(Parametre_2018!J$4&lt;&gt;"",IF(O118&lt;=Parametre_2018!J$4,"CL",""),"CL"))),"MCL")),IF(Q118&lt;&gt;"",IF(AND(Q118&gt;Parametre_2018!B$4,Q118&lt;=Parametre_2018!H$4),IF(Parametre_2018!I$4&lt;&gt;"",IF(N118&lt;=Parametre_2018!I$4,IF(Parametre_2018!J$4&lt;&gt;"",IF(O118&lt;=Parametre_2018!J$4,"CL",""),"CL"),""),IF(Parametre_2018!J$4&lt;&gt;"",IF(O118&lt;=Parametre_2018!J$4,"CL",""),"CL")),""),"")),"")</f>
        <v/>
      </c>
      <c r="AC118" s="155"/>
      <c r="AD118" s="74"/>
      <c r="AE118" s="155"/>
      <c r="AF118" s="175"/>
    </row>
    <row r="119" spans="1:43" ht="48.75" customHeight="1" x14ac:dyDescent="0.25">
      <c r="A119" s="152">
        <v>27</v>
      </c>
      <c r="B119" s="152" t="s">
        <v>62</v>
      </c>
      <c r="C119" s="183" t="s">
        <v>350</v>
      </c>
      <c r="D119" s="183" t="s">
        <v>351</v>
      </c>
      <c r="E119" s="184" t="s">
        <v>50</v>
      </c>
      <c r="F119" s="185" t="s">
        <v>471</v>
      </c>
      <c r="G119" s="186">
        <v>43263</v>
      </c>
      <c r="H119" s="192" t="s">
        <v>474</v>
      </c>
      <c r="I119" s="192" t="s">
        <v>44</v>
      </c>
      <c r="J119" s="153" t="s">
        <v>53</v>
      </c>
      <c r="K119" s="164" t="s">
        <v>213</v>
      </c>
      <c r="L119" s="161" t="s">
        <v>136</v>
      </c>
      <c r="M119" s="163" t="s">
        <v>125</v>
      </c>
      <c r="N119" s="178" t="s">
        <v>25</v>
      </c>
      <c r="O119" s="198" t="s">
        <v>25</v>
      </c>
      <c r="P119" s="200">
        <v>2.78</v>
      </c>
      <c r="Q119" s="202">
        <v>2.81</v>
      </c>
      <c r="R119" s="207"/>
      <c r="S119" s="152"/>
      <c r="T119" s="204" t="s">
        <v>62</v>
      </c>
      <c r="U119" s="132" t="str">
        <f t="shared" si="3"/>
        <v/>
      </c>
      <c r="V119" s="55"/>
      <c r="W119" s="55"/>
      <c r="X119" s="58"/>
      <c r="Y119" s="226" t="str">
        <f>IF(Q119&lt;&gt;"",IF(Q119&lt;=1.2,IF(O119="A","CR",IF(V119&lt;&gt;"",IF(Parametre_2018!N$4=1,IF(LEFT(V119,1)="1",IF(V119&lt;&gt;"",IF(Parametre_2018!O$4&lt;&gt;"",IF(N119&lt;=Parametre_2018!O$4,IF(V119&lt;&gt;"",IF(Parametre_2018!P$4&lt;&gt;"",IF(O119&lt;=Parametre_2018!P$4,"PLD",""),"PLD"),""),""),IF(V119&lt;&gt;"",IF(Parametre_2018!P$4&lt;&gt;"",IF(O119&lt;=Parametre_2018!P$4,"PLD",""),"PLD"),"")),""),""),IF(V119&lt;&gt;"",IF(Parametre_2018!O$4&lt;&gt;"",IF(N119&lt;=Parametre_2018!O$4,IF(V119&lt;&gt;"",IF(Parametre_2018!P$4&lt;&gt;"",IF(O119&lt;=Parametre_2018!P$4,"PLD",""),"PLD"),""),""),IF(V119&lt;&gt;"",IF(Parametre_2018!P$4&lt;&gt;"",IF(O119&lt;=Parametre_2018!P$4,"PLD",""),"PLD"),"")),"")),"")),IF(V119&lt;&gt;"",IF(Parametre_2018!N$4=1,IF(LEFT(V119,1)="1",IF(V119&lt;&gt;"",IF(Parametre_2018!O$4&lt;&gt;"",IF(N119&lt;=Parametre_2018!O$4,IF(V119&lt;&gt;"",IF(Parametre_2018!P$4&lt;&gt;"",IF(O119&lt;=Parametre_2018!P$4,"PLD",""),"PLD"),""),""),IF(V119&lt;&gt;"",IF(Parametre_2018!P$4&lt;&gt;"",IF(O119&lt;=Parametre_2018!P$4,"PLD",""),"PLD"),"")),""),""),IF(V119&lt;&gt;"",IF(Parametre_2018!O$4&lt;&gt;"",IF(N119&lt;=Parametre_2018!O$4,IF(V119&lt;&gt;"",IF(Parametre_2018!P$4&lt;&gt;"",IF(O119&lt;=Parametre_2018!P$4,"PLD",""),"PLD"),""),""),IF(V119&lt;&gt;"",IF(Parametre_2018!P$4&lt;&gt;"",IF(O119&lt;=Parametre_2018!P$4,"PLD",""),"PLD"),"")),"")),"")),"")</f>
        <v/>
      </c>
      <c r="Z119" s="58"/>
      <c r="AA119" s="227"/>
      <c r="AB119" s="228" t="str">
        <f>IF(Q119&lt;&gt;"",IF(Q119&lt;=Parametre_2018!B$4,IF(Parametre_2018!C$4&lt;&gt;"",IF(N119&lt;=Parametre_2018!C$4,IF(Parametre_2018!D$4&lt;&gt;"",IF(O119&lt;=Parametre_2018!D$4,"MCL",IF(Parametre_2018!I$4&lt;&gt;"",IF(N119&lt;=Parametre_2018!I$4,IF(Parametre_2018!J$4&lt;&gt;"",IF(O119&lt;=Parametre_2018!J$4,"CL",""),"CL"),""),IF(Parametre_2018!J$4&lt;&gt;"",IF(O119&lt;=Parametre_2018!J$4,"CL",""),"CL"))),"MCL"),IF(Parametre_2018!I$4&lt;&gt;"",IF(N119&lt;=Parametre_2018!I$4,IF(Parametre_2018!J$4&lt;&gt;"",IF(O119&lt;=Parametre_2018!J$4,"CL",""),"CL"),""),IF(Parametre_2018!J$4&lt;&gt;"",IF(O119&lt;=Parametre_2018!J$4,"CL",""),"CL"))),IF(Parametre_2018!D$4&lt;&gt;"",IF(O119&lt;=Parametre_2018!D$4,"MCL",IF(Parametre_2018!I$4&lt;&gt;"",IF(N119&lt;=Parametre_2018!I$4,IF(Parametre_2018!J$4&lt;&gt;"",IF(O119&lt;=Parametre_2018!J$4,"CL",""),"CL"),""),IF(Parametre_2018!J$4&lt;&gt;"",IF(O119&lt;=Parametre_2018!J$4,"CL",""),"CL"))),"MCL")),IF(Q119&lt;&gt;"",IF(AND(Q119&gt;Parametre_2018!B$4,Q119&lt;=Parametre_2018!H$4),IF(Parametre_2018!I$4&lt;&gt;"",IF(N119&lt;=Parametre_2018!I$4,IF(Parametre_2018!J$4&lt;&gt;"",IF(O119&lt;=Parametre_2018!J$4,"CL",""),"CL"),""),IF(Parametre_2018!J$4&lt;&gt;"",IF(O119&lt;=Parametre_2018!J$4,"CL",""),"CL")),""),"")),"")</f>
        <v/>
      </c>
      <c r="AC119" s="89"/>
      <c r="AD119" s="74"/>
      <c r="AE119" s="77"/>
      <c r="AF119" s="63"/>
    </row>
    <row r="120" spans="1:43" ht="48.75" customHeight="1" x14ac:dyDescent="0.25">
      <c r="A120" s="152">
        <v>1</v>
      </c>
      <c r="B120" s="152" t="s">
        <v>62</v>
      </c>
      <c r="C120" s="183" t="s">
        <v>305</v>
      </c>
      <c r="D120" s="183" t="s">
        <v>306</v>
      </c>
      <c r="E120" s="184" t="s">
        <v>50</v>
      </c>
      <c r="F120" s="185" t="s">
        <v>470</v>
      </c>
      <c r="G120" s="195">
        <v>43262</v>
      </c>
      <c r="H120" s="187" t="s">
        <v>489</v>
      </c>
      <c r="I120" s="187" t="s">
        <v>18</v>
      </c>
      <c r="J120" s="193" t="s">
        <v>490</v>
      </c>
      <c r="K120" s="164" t="s">
        <v>187</v>
      </c>
      <c r="L120" s="161" t="s">
        <v>116</v>
      </c>
      <c r="M120" s="163" t="s">
        <v>121</v>
      </c>
      <c r="N120" s="177" t="s">
        <v>25</v>
      </c>
      <c r="O120" s="198" t="s">
        <v>61</v>
      </c>
      <c r="P120" s="257">
        <v>2.74</v>
      </c>
      <c r="Q120" s="202">
        <v>2.92</v>
      </c>
      <c r="R120" s="152"/>
      <c r="S120" s="152"/>
      <c r="T120" s="204" t="s">
        <v>62</v>
      </c>
      <c r="U120" s="132" t="str">
        <f t="shared" si="3"/>
        <v/>
      </c>
      <c r="V120" s="55"/>
      <c r="W120" s="55"/>
      <c r="X120" s="58"/>
      <c r="Y120" s="226" t="str">
        <f>IF(Q120&lt;&gt;"",IF(Q120&lt;=1.2,IF(O120="A","CR",IF(V120&lt;&gt;"",IF(Parametre_2018!N$4=1,IF(LEFT(V120,1)="1",IF(V120&lt;&gt;"",IF(Parametre_2018!O$4&lt;&gt;"",IF(N120&lt;=Parametre_2018!O$4,IF(V120&lt;&gt;"",IF(Parametre_2018!P$4&lt;&gt;"",IF(O120&lt;=Parametre_2018!P$4,"PLD",""),"PLD"),""),""),IF(V120&lt;&gt;"",IF(Parametre_2018!P$4&lt;&gt;"",IF(O120&lt;=Parametre_2018!P$4,"PLD",""),"PLD"),"")),""),""),IF(V120&lt;&gt;"",IF(Parametre_2018!O$4&lt;&gt;"",IF(N120&lt;=Parametre_2018!O$4,IF(V120&lt;&gt;"",IF(Parametre_2018!P$4&lt;&gt;"",IF(O120&lt;=Parametre_2018!P$4,"PLD",""),"PLD"),""),""),IF(V120&lt;&gt;"",IF(Parametre_2018!P$4&lt;&gt;"",IF(O120&lt;=Parametre_2018!P$4,"PLD",""),"PLD"),"")),"")),"")),IF(V120&lt;&gt;"",IF(Parametre_2018!N$4=1,IF(LEFT(V120,1)="1",IF(V120&lt;&gt;"",IF(Parametre_2018!O$4&lt;&gt;"",IF(N120&lt;=Parametre_2018!O$4,IF(V120&lt;&gt;"",IF(Parametre_2018!P$4&lt;&gt;"",IF(O120&lt;=Parametre_2018!P$4,"PLD",""),"PLD"),""),""),IF(V120&lt;&gt;"",IF(Parametre_2018!P$4&lt;&gt;"",IF(O120&lt;=Parametre_2018!P$4,"PLD",""),"PLD"),"")),""),""),IF(V120&lt;&gt;"",IF(Parametre_2018!O$4&lt;&gt;"",IF(N120&lt;=Parametre_2018!O$4,IF(V120&lt;&gt;"",IF(Parametre_2018!P$4&lt;&gt;"",IF(O120&lt;=Parametre_2018!P$4,"PLD",""),"PLD"),""),""),IF(V120&lt;&gt;"",IF(Parametre_2018!P$4&lt;&gt;"",IF(O120&lt;=Parametre_2018!P$4,"PLD",""),"PLD"),"")),"")),"")),"")</f>
        <v/>
      </c>
      <c r="Z120" s="58"/>
      <c r="AA120" s="227"/>
      <c r="AB120" s="228" t="str">
        <f>IF(Q120&lt;&gt;"",IF(Q120&lt;=Parametre_2018!B$4,IF(Parametre_2018!C$4&lt;&gt;"",IF(N120&lt;=Parametre_2018!C$4,IF(Parametre_2018!D$4&lt;&gt;"",IF(O120&lt;=Parametre_2018!D$4,"MCL",IF(Parametre_2018!I$4&lt;&gt;"",IF(N120&lt;=Parametre_2018!I$4,IF(Parametre_2018!J$4&lt;&gt;"",IF(O120&lt;=Parametre_2018!J$4,"CL",""),"CL"),""),IF(Parametre_2018!J$4&lt;&gt;"",IF(O120&lt;=Parametre_2018!J$4,"CL",""),"CL"))),"MCL"),IF(Parametre_2018!I$4&lt;&gt;"",IF(N120&lt;=Parametre_2018!I$4,IF(Parametre_2018!J$4&lt;&gt;"",IF(O120&lt;=Parametre_2018!J$4,"CL",""),"CL"),""),IF(Parametre_2018!J$4&lt;&gt;"",IF(O120&lt;=Parametre_2018!J$4,"CL",""),"CL"))),IF(Parametre_2018!D$4&lt;&gt;"",IF(O120&lt;=Parametre_2018!D$4,"MCL",IF(Parametre_2018!I$4&lt;&gt;"",IF(N120&lt;=Parametre_2018!I$4,IF(Parametre_2018!J$4&lt;&gt;"",IF(O120&lt;=Parametre_2018!J$4,"CL",""),"CL"),""),IF(Parametre_2018!J$4&lt;&gt;"",IF(O120&lt;=Parametre_2018!J$4,"CL",""),"CL"))),"MCL")),IF(Q120&lt;&gt;"",IF(AND(Q120&gt;Parametre_2018!B$4,Q120&lt;=Parametre_2018!H$4),IF(Parametre_2018!I$4&lt;&gt;"",IF(N120&lt;=Parametre_2018!I$4,IF(Parametre_2018!J$4&lt;&gt;"",IF(O120&lt;=Parametre_2018!J$4,"CL",""),"CL"),""),IF(Parametre_2018!J$4&lt;&gt;"",IF(O120&lt;=Parametre_2018!J$4,"CL",""),"CL")),""),"")),"")</f>
        <v/>
      </c>
      <c r="AC120" s="54"/>
      <c r="AD120" s="74"/>
      <c r="AE120" s="77"/>
      <c r="AF120" s="54"/>
    </row>
    <row r="121" spans="1:43" ht="48.75" customHeight="1" x14ac:dyDescent="0.25">
      <c r="A121" s="152">
        <v>53</v>
      </c>
      <c r="B121" s="152" t="s">
        <v>62</v>
      </c>
      <c r="C121" s="183" t="s">
        <v>386</v>
      </c>
      <c r="D121" s="183" t="s">
        <v>54</v>
      </c>
      <c r="E121" s="184" t="s">
        <v>50</v>
      </c>
      <c r="F121" s="185" t="s">
        <v>471</v>
      </c>
      <c r="G121" s="186">
        <v>43263</v>
      </c>
      <c r="H121" s="187" t="s">
        <v>477</v>
      </c>
      <c r="I121" s="192" t="s">
        <v>478</v>
      </c>
      <c r="J121" s="172" t="s">
        <v>476</v>
      </c>
      <c r="K121" s="164" t="s">
        <v>239</v>
      </c>
      <c r="L121" s="161" t="s">
        <v>149</v>
      </c>
      <c r="M121" s="163" t="s">
        <v>176</v>
      </c>
      <c r="N121" s="181" t="s">
        <v>27</v>
      </c>
      <c r="O121" s="198" t="s">
        <v>25</v>
      </c>
      <c r="P121" s="257">
        <v>3.03</v>
      </c>
      <c r="Q121" s="206">
        <v>3.02</v>
      </c>
      <c r="R121" s="209"/>
      <c r="S121" s="220"/>
      <c r="T121" s="220" t="s">
        <v>62</v>
      </c>
      <c r="U121" s="132" t="str">
        <f t="shared" si="3"/>
        <v/>
      </c>
      <c r="V121" s="220"/>
      <c r="W121" s="220"/>
      <c r="X121" s="220"/>
      <c r="Y121" s="226" t="str">
        <f>IF(Q121&lt;&gt;"",IF(Q121&lt;=1.2,IF(O121="A","CR",IF(V121&lt;&gt;"",IF(Parametre_2018!N$4=1,IF(LEFT(V121,1)="1",IF(V121&lt;&gt;"",IF(Parametre_2018!O$4&lt;&gt;"",IF(N121&lt;=Parametre_2018!O$4,IF(V121&lt;&gt;"",IF(Parametre_2018!P$4&lt;&gt;"",IF(O121&lt;=Parametre_2018!P$4,"PLD",""),"PLD"),""),""),IF(V121&lt;&gt;"",IF(Parametre_2018!P$4&lt;&gt;"",IF(O121&lt;=Parametre_2018!P$4,"PLD",""),"PLD"),"")),""),""),IF(V121&lt;&gt;"",IF(Parametre_2018!O$4&lt;&gt;"",IF(N121&lt;=Parametre_2018!O$4,IF(V121&lt;&gt;"",IF(Parametre_2018!P$4&lt;&gt;"",IF(O121&lt;=Parametre_2018!P$4,"PLD",""),"PLD"),""),""),IF(V121&lt;&gt;"",IF(Parametre_2018!P$4&lt;&gt;"",IF(O121&lt;=Parametre_2018!P$4,"PLD",""),"PLD"),"")),"")),"")),IF(V121&lt;&gt;"",IF(Parametre_2018!N$4=1,IF(LEFT(V121,1)="1",IF(V121&lt;&gt;"",IF(Parametre_2018!O$4&lt;&gt;"",IF(N121&lt;=Parametre_2018!O$4,IF(V121&lt;&gt;"",IF(Parametre_2018!P$4&lt;&gt;"",IF(O121&lt;=Parametre_2018!P$4,"PLD",""),"PLD"),""),""),IF(V121&lt;&gt;"",IF(Parametre_2018!P$4&lt;&gt;"",IF(O121&lt;=Parametre_2018!P$4,"PLD",""),"PLD"),"")),""),""),IF(V121&lt;&gt;"",IF(Parametre_2018!O$4&lt;&gt;"",IF(N121&lt;=Parametre_2018!O$4,IF(V121&lt;&gt;"",IF(Parametre_2018!P$4&lt;&gt;"",IF(O121&lt;=Parametre_2018!P$4,"PLD",""),"PLD"),""),""),IF(V121&lt;&gt;"",IF(Parametre_2018!P$4&lt;&gt;"",IF(O121&lt;=Parametre_2018!P$4,"PLD",""),"PLD"),"")),"")),"")),"")</f>
        <v/>
      </c>
      <c r="Z121" s="220"/>
      <c r="AA121" s="227"/>
      <c r="AB121" s="228" t="str">
        <f>IF(Q121&lt;&gt;"",IF(Q121&lt;=Parametre_2018!B$4,IF(Parametre_2018!C$4&lt;&gt;"",IF(N121&lt;=Parametre_2018!C$4,IF(Parametre_2018!D$4&lt;&gt;"",IF(O121&lt;=Parametre_2018!D$4,"MCL",IF(Parametre_2018!I$4&lt;&gt;"",IF(N121&lt;=Parametre_2018!I$4,IF(Parametre_2018!J$4&lt;&gt;"",IF(O121&lt;=Parametre_2018!J$4,"CL",""),"CL"),""),IF(Parametre_2018!J$4&lt;&gt;"",IF(O121&lt;=Parametre_2018!J$4,"CL",""),"CL"))),"MCL"),IF(Parametre_2018!I$4&lt;&gt;"",IF(N121&lt;=Parametre_2018!I$4,IF(Parametre_2018!J$4&lt;&gt;"",IF(O121&lt;=Parametre_2018!J$4,"CL",""),"CL"),""),IF(Parametre_2018!J$4&lt;&gt;"",IF(O121&lt;=Parametre_2018!J$4,"CL",""),"CL"))),IF(Parametre_2018!D$4&lt;&gt;"",IF(O121&lt;=Parametre_2018!D$4,"MCL",IF(Parametre_2018!I$4&lt;&gt;"",IF(N121&lt;=Parametre_2018!I$4,IF(Parametre_2018!J$4&lt;&gt;"",IF(O121&lt;=Parametre_2018!J$4,"CL",""),"CL"),""),IF(Parametre_2018!J$4&lt;&gt;"",IF(O121&lt;=Parametre_2018!J$4,"CL",""),"CL"))),"MCL")),IF(Q121&lt;&gt;"",IF(AND(Q121&gt;Parametre_2018!B$4,Q121&lt;=Parametre_2018!H$4),IF(Parametre_2018!I$4&lt;&gt;"",IF(N121&lt;=Parametre_2018!I$4,IF(Parametre_2018!J$4&lt;&gt;"",IF(O121&lt;=Parametre_2018!J$4,"CL",""),"CL"),""),IF(Parametre_2018!J$4&lt;&gt;"",IF(O121&lt;=Parametre_2018!J$4,"CL",""),"CL")),""),"")),"")</f>
        <v/>
      </c>
      <c r="AC121" s="169"/>
      <c r="AD121" s="74"/>
      <c r="AE121" s="169"/>
      <c r="AF121" s="169"/>
    </row>
    <row r="122" spans="1:43" ht="48.75" customHeight="1" x14ac:dyDescent="0.3">
      <c r="O122" s="196"/>
      <c r="Q122" s="201"/>
    </row>
    <row r="123" spans="1:43" ht="48.75" customHeight="1" x14ac:dyDescent="0.25">
      <c r="A123" s="230" t="s">
        <v>521</v>
      </c>
      <c r="B123" s="230" t="s">
        <v>62</v>
      </c>
      <c r="C123" s="231" t="s">
        <v>522</v>
      </c>
      <c r="D123" s="231" t="s">
        <v>335</v>
      </c>
      <c r="E123" s="231" t="s">
        <v>50</v>
      </c>
      <c r="F123" s="185" t="s">
        <v>470</v>
      </c>
      <c r="G123" s="233">
        <v>42900</v>
      </c>
      <c r="H123" s="192" t="s">
        <v>525</v>
      </c>
      <c r="I123" s="192" t="s">
        <v>483</v>
      </c>
      <c r="J123" s="194" t="s">
        <v>526</v>
      </c>
      <c r="K123" s="256" t="s">
        <v>527</v>
      </c>
      <c r="L123" s="161" t="s">
        <v>164</v>
      </c>
      <c r="M123" s="161" t="s">
        <v>148</v>
      </c>
      <c r="N123" s="198" t="s">
        <v>27</v>
      </c>
      <c r="O123" s="198" t="s">
        <v>27</v>
      </c>
      <c r="P123" s="232">
        <v>2.59</v>
      </c>
      <c r="Q123" s="202">
        <v>2.57</v>
      </c>
      <c r="R123" s="248"/>
      <c r="S123" s="248"/>
      <c r="T123" s="248"/>
      <c r="U123" s="249"/>
      <c r="V123" s="250"/>
      <c r="W123" s="251"/>
      <c r="X123" s="250"/>
      <c r="Y123" s="252"/>
      <c r="Z123" s="250"/>
      <c r="AA123" s="250"/>
      <c r="AB123" s="252"/>
      <c r="AC123" s="250"/>
      <c r="AD123" s="250"/>
      <c r="AE123" s="250"/>
      <c r="AF123" s="253"/>
      <c r="AG123" s="254"/>
      <c r="AH123" s="255"/>
      <c r="AI123" s="242"/>
      <c r="AJ123" s="242"/>
      <c r="AK123" s="242"/>
      <c r="AL123" s="242"/>
      <c r="AM123" s="242"/>
      <c r="AN123" s="242"/>
      <c r="AO123" s="242"/>
      <c r="AP123" s="242"/>
      <c r="AQ123" s="242"/>
    </row>
    <row r="124" spans="1:43" ht="48.75" customHeight="1" x14ac:dyDescent="0.3">
      <c r="O124" s="196"/>
    </row>
    <row r="125" spans="1:43" ht="48.75" customHeight="1" x14ac:dyDescent="0.3">
      <c r="O125" s="196"/>
    </row>
    <row r="126" spans="1:43" ht="48.75" customHeight="1" x14ac:dyDescent="0.3">
      <c r="O126" s="196"/>
    </row>
    <row r="127" spans="1:43" ht="48.75" customHeight="1" x14ac:dyDescent="0.3">
      <c r="O127" s="196"/>
    </row>
    <row r="128" spans="1:43" ht="48.75" customHeight="1" x14ac:dyDescent="0.3">
      <c r="O128" s="196"/>
    </row>
    <row r="129" spans="15:15" ht="48.75" customHeight="1" x14ac:dyDescent="0.3">
      <c r="O129" s="196"/>
    </row>
    <row r="130" spans="15:15" ht="48.75" customHeight="1" x14ac:dyDescent="0.3">
      <c r="O130" s="196"/>
    </row>
    <row r="131" spans="15:15" ht="48.75" customHeight="1" x14ac:dyDescent="0.3">
      <c r="O131" s="196"/>
    </row>
    <row r="132" spans="15:15" ht="48.75" customHeight="1" x14ac:dyDescent="0.3">
      <c r="O132" s="196"/>
    </row>
    <row r="133" spans="15:15" ht="48.75" customHeight="1" x14ac:dyDescent="0.3">
      <c r="O133" s="196"/>
    </row>
    <row r="134" spans="15:15" ht="48.75" customHeight="1" x14ac:dyDescent="0.3">
      <c r="O134" s="196"/>
    </row>
    <row r="135" spans="15:15" ht="48.75" customHeight="1" x14ac:dyDescent="0.3">
      <c r="O135" s="196"/>
    </row>
    <row r="136" spans="15:15" ht="48.75" customHeight="1" x14ac:dyDescent="0.3">
      <c r="O136" s="196"/>
    </row>
    <row r="137" spans="15:15" ht="48.75" customHeight="1" x14ac:dyDescent="0.3">
      <c r="O137" s="196"/>
    </row>
    <row r="138" spans="15:15" ht="48.75" customHeight="1" x14ac:dyDescent="0.3">
      <c r="O138" s="196"/>
    </row>
    <row r="139" spans="15:15" ht="48.75" customHeight="1" x14ac:dyDescent="0.3">
      <c r="O139" s="196"/>
    </row>
    <row r="140" spans="15:15" ht="48.75" customHeight="1" x14ac:dyDescent="0.3">
      <c r="O140" s="196"/>
    </row>
    <row r="141" spans="15:15" ht="48.75" customHeight="1" x14ac:dyDescent="0.3">
      <c r="O141" s="196"/>
    </row>
    <row r="142" spans="15:15" ht="48.75" customHeight="1" x14ac:dyDescent="0.3">
      <c r="O142" s="196"/>
    </row>
    <row r="143" spans="15:15" ht="48.75" customHeight="1" x14ac:dyDescent="0.3">
      <c r="O143" s="196"/>
    </row>
    <row r="144" spans="15:15" ht="48.75" customHeight="1" x14ac:dyDescent="0.3">
      <c r="O144" s="196"/>
    </row>
    <row r="145" spans="15:15" ht="48.75" customHeight="1" x14ac:dyDescent="0.3">
      <c r="O145" s="196"/>
    </row>
    <row r="146" spans="15:15" ht="48.75" customHeight="1" x14ac:dyDescent="0.3">
      <c r="O146" s="196"/>
    </row>
    <row r="147" spans="15:15" ht="48.75" customHeight="1" x14ac:dyDescent="0.3">
      <c r="O147" s="196"/>
    </row>
    <row r="148" spans="15:15" ht="48.75" customHeight="1" x14ac:dyDescent="0.3">
      <c r="O148" s="196"/>
    </row>
    <row r="149" spans="15:15" ht="48.75" customHeight="1" x14ac:dyDescent="0.3">
      <c r="O149" s="196"/>
    </row>
    <row r="150" spans="15:15" ht="48.75" customHeight="1" x14ac:dyDescent="0.3">
      <c r="O150" s="196"/>
    </row>
    <row r="151" spans="15:15" ht="48.75" customHeight="1" x14ac:dyDescent="0.3">
      <c r="O151" s="196"/>
    </row>
    <row r="152" spans="15:15" ht="48.75" customHeight="1" x14ac:dyDescent="0.3">
      <c r="O152" s="196"/>
    </row>
    <row r="153" spans="15:15" ht="48.75" customHeight="1" x14ac:dyDescent="0.3">
      <c r="O153" s="196"/>
    </row>
    <row r="154" spans="15:15" ht="48.75" customHeight="1" x14ac:dyDescent="0.3">
      <c r="O154" s="196"/>
    </row>
    <row r="155" spans="15:15" ht="48.75" customHeight="1" x14ac:dyDescent="0.3">
      <c r="O155" s="196"/>
    </row>
    <row r="156" spans="15:15" ht="48.75" customHeight="1" x14ac:dyDescent="0.3">
      <c r="O156" s="196"/>
    </row>
    <row r="157" spans="15:15" ht="48.75" customHeight="1" x14ac:dyDescent="0.3">
      <c r="O157" s="196"/>
    </row>
    <row r="158" spans="15:15" ht="48.75" customHeight="1" x14ac:dyDescent="0.3">
      <c r="O158" s="196"/>
    </row>
    <row r="159" spans="15:15" ht="48.75" customHeight="1" x14ac:dyDescent="0.3">
      <c r="O159" s="196"/>
    </row>
    <row r="160" spans="15:15" ht="48.75" customHeight="1" x14ac:dyDescent="0.3">
      <c r="O160" s="196"/>
    </row>
    <row r="161" spans="15:15" ht="48.75" customHeight="1" x14ac:dyDescent="0.3">
      <c r="O161" s="196"/>
    </row>
    <row r="162" spans="15:15" ht="48.75" customHeight="1" x14ac:dyDescent="0.3">
      <c r="O162" s="196"/>
    </row>
    <row r="163" spans="15:15" ht="48.75" customHeight="1" x14ac:dyDescent="0.3">
      <c r="O163" s="196"/>
    </row>
    <row r="164" spans="15:15" ht="48.75" customHeight="1" x14ac:dyDescent="0.3">
      <c r="O164" s="196"/>
    </row>
    <row r="165" spans="15:15" ht="48.75" customHeight="1" x14ac:dyDescent="0.3">
      <c r="O165" s="196"/>
    </row>
    <row r="166" spans="15:15" ht="48.75" customHeight="1" x14ac:dyDescent="0.3">
      <c r="O166" s="196"/>
    </row>
    <row r="167" spans="15:15" ht="48.75" customHeight="1" x14ac:dyDescent="0.3">
      <c r="O167" s="196"/>
    </row>
    <row r="168" spans="15:15" ht="48.75" customHeight="1" x14ac:dyDescent="0.3">
      <c r="O168" s="196"/>
    </row>
    <row r="169" spans="15:15" ht="48.75" customHeight="1" x14ac:dyDescent="0.3">
      <c r="O169" s="196"/>
    </row>
    <row r="170" spans="15:15" ht="48.75" customHeight="1" x14ac:dyDescent="0.3">
      <c r="O170" s="196"/>
    </row>
    <row r="171" spans="15:15" ht="48.75" customHeight="1" x14ac:dyDescent="0.3">
      <c r="O171" s="196"/>
    </row>
    <row r="172" spans="15:15" ht="48.75" customHeight="1" x14ac:dyDescent="0.3">
      <c r="O172" s="196"/>
    </row>
    <row r="173" spans="15:15" ht="48.75" customHeight="1" x14ac:dyDescent="0.3">
      <c r="O173" s="196"/>
    </row>
    <row r="174" spans="15:15" ht="48.75" customHeight="1" x14ac:dyDescent="0.3">
      <c r="O174" s="196"/>
    </row>
    <row r="175" spans="15:15" ht="48.75" customHeight="1" x14ac:dyDescent="0.3">
      <c r="O175" s="196"/>
    </row>
    <row r="176" spans="15:15" ht="48.75" customHeight="1" x14ac:dyDescent="0.3">
      <c r="O176" s="196"/>
    </row>
    <row r="177" spans="15:15" ht="48.75" customHeight="1" x14ac:dyDescent="0.3">
      <c r="O177" s="196"/>
    </row>
    <row r="178" spans="15:15" ht="48.75" customHeight="1" x14ac:dyDescent="0.3">
      <c r="O178" s="196"/>
    </row>
    <row r="179" spans="15:15" ht="48.75" customHeight="1" x14ac:dyDescent="0.3">
      <c r="O179" s="196"/>
    </row>
    <row r="180" spans="15:15" ht="48.75" customHeight="1" x14ac:dyDescent="0.3">
      <c r="O180" s="196"/>
    </row>
    <row r="181" spans="15:15" ht="48.75" customHeight="1" x14ac:dyDescent="0.3">
      <c r="O181" s="196"/>
    </row>
    <row r="182" spans="15:15" ht="48.75" customHeight="1" x14ac:dyDescent="0.3">
      <c r="O182" s="196"/>
    </row>
    <row r="183" spans="15:15" ht="48.75" customHeight="1" x14ac:dyDescent="0.3">
      <c r="O183" s="196"/>
    </row>
    <row r="184" spans="15:15" ht="48.75" customHeight="1" x14ac:dyDescent="0.3">
      <c r="O184" s="196"/>
    </row>
    <row r="185" spans="15:15" ht="48.75" customHeight="1" x14ac:dyDescent="0.3">
      <c r="O185" s="196"/>
    </row>
    <row r="186" spans="15:15" ht="48.75" customHeight="1" x14ac:dyDescent="0.3">
      <c r="O186" s="196"/>
    </row>
    <row r="187" spans="15:15" ht="48.75" customHeight="1" x14ac:dyDescent="0.3">
      <c r="O187" s="196"/>
    </row>
    <row r="188" spans="15:15" ht="48.75" customHeight="1" x14ac:dyDescent="0.3">
      <c r="O188" s="196"/>
    </row>
    <row r="189" spans="15:15" ht="48.75" customHeight="1" x14ac:dyDescent="0.3">
      <c r="O189" s="196"/>
    </row>
    <row r="190" spans="15:15" ht="48.75" customHeight="1" x14ac:dyDescent="0.3">
      <c r="O190" s="196"/>
    </row>
    <row r="191" spans="15:15" ht="48.75" customHeight="1" x14ac:dyDescent="0.3">
      <c r="O191" s="196"/>
    </row>
    <row r="192" spans="15:15" ht="48.75" customHeight="1" x14ac:dyDescent="0.3">
      <c r="O192" s="196"/>
    </row>
    <row r="193" spans="15:15" ht="48.75" customHeight="1" x14ac:dyDescent="0.3">
      <c r="O193" s="196"/>
    </row>
    <row r="194" spans="15:15" ht="48.75" customHeight="1" x14ac:dyDescent="0.25">
      <c r="O194" s="197"/>
    </row>
    <row r="195" spans="15:15" ht="48.75" customHeight="1" x14ac:dyDescent="0.25">
      <c r="O195" s="197"/>
    </row>
  </sheetData>
  <autoFilter ref="A3:AF121" xr:uid="{00000000-0009-0000-0000-000000000000}">
    <filterColumn colId="2" showButton="0"/>
    <filterColumn colId="3" showButton="0"/>
    <sortState ref="A4:AF121">
      <sortCondition ref="Q3:Q49"/>
    </sortState>
  </autoFilter>
  <mergeCells count="6">
    <mergeCell ref="N2:O2"/>
    <mergeCell ref="C3:E3"/>
    <mergeCell ref="AB2:AD2"/>
    <mergeCell ref="P2:Q2"/>
    <mergeCell ref="R2:T2"/>
    <mergeCell ref="V2:AA2"/>
  </mergeCells>
  <phoneticPr fontId="0" type="noConversion"/>
  <pageMargins left="3.937007874015748E-2" right="3.937007874015748E-2" top="0.23622047244094491" bottom="0.11811023622047245" header="7.874015748031496E-2" footer="0"/>
  <pageSetup paperSize="8" scale="70" orientation="landscape" horizontalDpi="4294967293" r:id="rId1"/>
  <headerFooter alignWithMargins="0"/>
  <rowBreaks count="1" manualBreakCount="1">
    <brk id="49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"/>
  <sheetViews>
    <sheetView zoomScale="130" zoomScaleNormal="130" workbookViewId="0">
      <selection activeCell="H5" sqref="H5"/>
    </sheetView>
  </sheetViews>
  <sheetFormatPr defaultRowHeight="13.2" x14ac:dyDescent="0.25"/>
  <cols>
    <col min="14" max="14" width="14.5546875" customWidth="1"/>
    <col min="16" max="16" width="11.5546875" customWidth="1"/>
  </cols>
  <sheetData>
    <row r="1" spans="1:17" ht="13.8" thickBot="1" x14ac:dyDescent="0.3"/>
    <row r="2" spans="1:17" x14ac:dyDescent="0.25">
      <c r="A2" s="272" t="s">
        <v>66</v>
      </c>
      <c r="B2" s="275" t="s">
        <v>84</v>
      </c>
      <c r="C2" s="280" t="s">
        <v>83</v>
      </c>
      <c r="D2" s="281"/>
      <c r="E2" s="100"/>
      <c r="F2" s="101"/>
      <c r="G2" s="277" t="s">
        <v>67</v>
      </c>
      <c r="H2" s="275" t="s">
        <v>84</v>
      </c>
      <c r="I2" s="280" t="s">
        <v>83</v>
      </c>
      <c r="J2" s="281"/>
      <c r="K2" s="100"/>
      <c r="L2" s="105"/>
      <c r="M2" s="277" t="s">
        <v>15</v>
      </c>
      <c r="N2" s="284" t="s">
        <v>87</v>
      </c>
      <c r="O2" s="280" t="s">
        <v>83</v>
      </c>
      <c r="P2" s="285"/>
    </row>
    <row r="3" spans="1:17" ht="44.25" customHeight="1" x14ac:dyDescent="0.25">
      <c r="A3" s="273"/>
      <c r="B3" s="276"/>
      <c r="C3" s="91" t="s">
        <v>85</v>
      </c>
      <c r="D3" s="95" t="s">
        <v>86</v>
      </c>
      <c r="E3" s="98"/>
      <c r="F3" s="102"/>
      <c r="G3" s="278"/>
      <c r="H3" s="276"/>
      <c r="I3" s="91" t="s">
        <v>85</v>
      </c>
      <c r="J3" s="95" t="s">
        <v>86</v>
      </c>
      <c r="K3" s="98"/>
      <c r="L3" s="90"/>
      <c r="M3" s="278"/>
      <c r="N3" s="276"/>
      <c r="O3" s="91" t="s">
        <v>85</v>
      </c>
      <c r="P3" s="106" t="s">
        <v>86</v>
      </c>
    </row>
    <row r="4" spans="1:17" ht="13.8" thickBot="1" x14ac:dyDescent="0.3">
      <c r="A4" s="274"/>
      <c r="B4" s="92">
        <v>1.1499999999999999</v>
      </c>
      <c r="C4" s="92" t="s">
        <v>60</v>
      </c>
      <c r="D4" s="96" t="s">
        <v>62</v>
      </c>
      <c r="E4" s="99"/>
      <c r="F4" s="103"/>
      <c r="G4" s="279"/>
      <c r="H4" s="92">
        <v>1.4</v>
      </c>
      <c r="I4" s="92"/>
      <c r="J4" s="96"/>
      <c r="K4" s="99"/>
      <c r="L4" s="97"/>
      <c r="M4" s="279"/>
      <c r="N4" s="92">
        <v>2</v>
      </c>
      <c r="O4" s="92"/>
      <c r="P4" s="107" t="s">
        <v>62</v>
      </c>
    </row>
    <row r="7" spans="1:17" x14ac:dyDescent="0.25">
      <c r="B7" s="282" t="s">
        <v>88</v>
      </c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</row>
    <row r="8" spans="1:17" x14ac:dyDescent="0.25">
      <c r="A8" s="93" t="s">
        <v>89</v>
      </c>
      <c r="B8" s="93" t="str">
        <f>IF('Ing statnice jun 2018'!Q4&lt;&gt;"",IF('Ing statnice jun 2018'!Q4&lt;=B$4,"a","c"),"")</f>
        <v>a</v>
      </c>
      <c r="C8" s="93" t="str">
        <f>IF(C$4&lt;&gt;"",IF('Ing statnice jun 2018'!N4&lt;=C$4,"a","b"),"a")</f>
        <v>a</v>
      </c>
      <c r="D8" s="93" t="str">
        <f>IF(D$4&lt;&gt;"",IF('Ing statnice jun 2018'!O4&lt;=D$4,"MCL","b"),"MCL")</f>
        <v>MCL</v>
      </c>
      <c r="E8" s="93"/>
      <c r="F8" s="93"/>
      <c r="G8" s="93"/>
      <c r="H8" s="93" t="str">
        <f>IF('Ing statnice jun 2018'!Q4&lt;&gt;"",IF(AND('Ing statnice jun 2018'!Q4&gt;B$4,'Ing statnice jun 2018'!Q4&lt;=H$4),"a",""),"")</f>
        <v/>
      </c>
      <c r="I8" s="93" t="str">
        <f>IF(I$4&lt;&gt;"",IF('Ing statnice jun 2018'!N4&lt;=I$4,"a",""),"a")</f>
        <v>a</v>
      </c>
      <c r="J8" s="93" t="str">
        <f>IF(J$4&lt;&gt;"",IF('Ing statnice jun 2018'!O4&lt;=J$4,"CL",""),"CL")</f>
        <v>CL</v>
      </c>
      <c r="K8" s="93"/>
      <c r="L8" s="94"/>
      <c r="M8" s="108" t="str">
        <f>IF('Ing statnice jun 2018'!Q4&lt;&gt;"",IF('Ing statnice jun 2018'!Q4&lt;=1.2,IF('Ing statnice jun 2018'!O4="A","CR","a"),"a"),"")</f>
        <v>CR</v>
      </c>
      <c r="N8" s="108" t="str">
        <f>IF('Ing statnice jun 2018'!V4&lt;&gt;"",IF(N$4=1,IF(LEFT('Ing statnice jun 2018'!V4,1)="1","a",""),"a"),"")</f>
        <v>a</v>
      </c>
      <c r="O8" s="108" t="str">
        <f>IF('Ing statnice jun 2018'!V4&lt;&gt;"",IF(O$4&lt;&gt;"",IF('Ing statnice jun 2018'!V4&lt;=O$4,"a",""),"a"),"")</f>
        <v>a</v>
      </c>
      <c r="P8" s="108" t="str">
        <f>IF('Ing statnice jun 2018'!V4&lt;&gt;"",IF(P$4&lt;&gt;"",IF('Ing statnice jun 2018'!O4&lt;=P$4,"PLD",""),"PLD"),"")</f>
        <v>PLD</v>
      </c>
    </row>
    <row r="9" spans="1:17" x14ac:dyDescent="0.25">
      <c r="A9" s="108" t="s">
        <v>90</v>
      </c>
      <c r="B9" s="93" t="str">
        <f>IF('Ing statnice jun 2018'!Q4&lt;&gt;"",IF('Ing statnice jun 2018'!Q4&lt;=B$4,IF(C$4&lt;&gt;"",IF('Ing statnice jun 2018'!N4&lt;=C$4,IF(D$4&lt;&gt;"",IF('Ing statnice jun 2018'!O4&lt;=D$4,"MCL",IF(I$4&lt;&gt;"",IF('Ing statnice jun 2018'!N4&lt;=I$4,IF(J$4&lt;&gt;"",IF('Ing statnice jun 2018'!O4&lt;=J$4,"CL",""),""),""),IF(J$4&lt;&gt;"",IF('Ing statnice jun 2018'!O4&lt;=J$4,"CL",""),""))),"MCL"),IF(I$4&lt;&gt;"",IF('Ing statnice jun 2018'!N4&lt;=I$4,IF(J$4&lt;&gt;"",IF('Ing statnice jun 2018'!O4&lt;=J$4,"CL",""),""),""),IF(J$4&lt;&gt;"",IF('Ing statnice jun 2018'!O4&lt;=J$4,"CL",""),""))),IF(D$4&lt;&gt;"",IF('Ing statnice jun 2018'!O4&lt;=D$4,"MCL",IF(I$4&lt;&gt;"",IF('Ing statnice jun 2018'!N4&lt;=I$4,IF(J$4&lt;&gt;"",IF('Ing statnice jun 2018'!O4&lt;=J$4,"CL",""),""),""),IF(J$4&lt;&gt;"",IF('Ing statnice jun 2018'!O4&lt;=J$4,"CL",""),""))),"MCL")),IF('Ing statnice jun 2018'!Q4&lt;&gt;"",IF(AND('Ing statnice jun 2018'!Q4&gt;B$4,'Ing statnice jun 2018'!Q4&lt;=H$4),IF(I$4&lt;&gt;"",IF('Ing statnice jun 2018'!N4&lt;=I$4,IF(J$4&lt;&gt;"",IF('Ing statnice jun 2018'!O4&lt;=J$4,"CL",""),""),""),IF(J$4&lt;&gt;"",IF('Ing statnice jun 2018'!O4&lt;=J$4,"CL",""),"")),""),"")),"")</f>
        <v>MCL</v>
      </c>
      <c r="C9" s="93" t="str">
        <f>IF(C$4&lt;&gt;"",IF('Ing statnice jun 2018'!N4&lt;=C$4,IF(D$4&lt;&gt;"",IF('Ing statnice jun 2018'!O4&lt;=D$4,"MCL",IF(I$4&lt;&gt;"",IF('Ing statnice jun 2018'!N4&lt;=I$4,IF(J$4&lt;&gt;"",IF('Ing statnice jun 2018'!O4&lt;=J$4,"CL",""),""),""),IF(J$4&lt;&gt;"",IF('Ing statnice jun 2018'!O4&lt;=J$4,"CL",""),""))),"MCL"),IF(I$4&lt;&gt;"",IF('Ing statnice jun 2018'!N4&lt;=I$4,IF(J$4&lt;&gt;"",IF('Ing statnice jun 2018'!O4&lt;=J$4,"CL",""),""),""),IF(J$4&lt;&gt;"",IF('Ing statnice jun 2018'!O4&lt;=J$4,"CL",""),""))),IF(D$4&lt;&gt;"",IF('Ing statnice jun 2018'!O4&lt;=D$4,"MCL",IF(I$4&lt;&gt;"",IF('Ing statnice jun 2018'!N4&lt;=I$4,IF(J$4&lt;&gt;"",IF('Ing statnice jun 2018'!O4&lt;=J$4,"CL",""),""),""),IF(J$4&lt;&gt;"",IF('Ing statnice jun 2018'!O4&lt;=J$4,"CL",""),""))),"MCL"))</f>
        <v>MCL</v>
      </c>
      <c r="D9" s="93" t="str">
        <f>IF(D$4&lt;&gt;"",IF('Ing statnice jun 2018'!O4&lt;=D$4,"MCL",IF(I$4&lt;&gt;"",IF('Ing statnice jun 2018'!N4&lt;=I$4,IF(J$4&lt;&gt;"",IF('Ing statnice jun 2018'!O4&lt;=J$4,"CL",""),""),""),IF(J$4&lt;&gt;"",IF('Ing statnice jun 2018'!O4&lt;=J$4,"CL",""),""))),"MCL")</f>
        <v>MCL</v>
      </c>
      <c r="E9" s="108"/>
      <c r="F9" s="108"/>
      <c r="G9" s="108"/>
      <c r="H9" s="93" t="str">
        <f>IF('Ing statnice jun 2018'!Q4&lt;&gt;"",IF(AND('Ing statnice jun 2018'!Q4&gt;B$4,'Ing statnice jun 2018'!Q4&lt;=H$4),IF(I$4&lt;&gt;"",IF('Ing statnice jun 2018'!N4&lt;=I$4,IF(J$4&lt;&gt;"",IF('Ing statnice jun 2018'!O4&lt;=J$4,"CL",""),""),""),IF(J$4&lt;&gt;"",IF('Ing statnice jun 2018'!O4&lt;=J$4,"CL",""),"")),""),"")</f>
        <v/>
      </c>
      <c r="I9" s="108" t="str">
        <f>IF(I$4&lt;&gt;"",IF('Ing statnice jun 2018'!N4&lt;=I$4,IF(J$4&lt;&gt;"",IF('Ing statnice jun 2018'!O4&lt;=J$4,"CL",""),""),""),IF(J$4&lt;&gt;"",IF('Ing statnice jun 2018'!O4&lt;=J$4,"CL",""),""))</f>
        <v/>
      </c>
      <c r="J9" s="108"/>
      <c r="K9" s="108"/>
      <c r="L9" s="108"/>
      <c r="M9" s="61" t="str">
        <f>IF('Ing statnice jun 2018'!Q4&lt;&gt;"",IF('Ing statnice jun 2018'!Q4&lt;=1.2,IF('Ing statnice jun 2018'!O4="A","CR",IF('Ing statnice jun 2018'!V4&lt;&gt;"",IF(N$4=1,IF(LEFT('Ing statnice jun 2018'!V4,1)="1",IF('Ing statnice jun 2018'!V4&lt;&gt;"",IF(O$4&lt;&gt;"",IF('Ing statnice jun 2018'!N4&lt;=O$4,IF('Ing statnice jun 2018'!V4&lt;&gt;"",IF(P$4&lt;&gt;"",IF('Ing statnice jun 2018'!O4&lt;=P$4,"PLD",""),"PLD"),""),""),IF('Ing statnice jun 2018'!V4&lt;&gt;"",IF(P$4&lt;&gt;"",IF('Ing statnice jun 2018'!O4&lt;=P$4,"PLD",""),"PLD"),"")),""),""),IF('Ing statnice jun 2018'!V4&lt;&gt;"",IF(O$4&lt;&gt;"",IF('Ing statnice jun 2018'!N4&lt;=O$4,IF('Ing statnice jun 2018'!V4&lt;&gt;"",IF(P$4&lt;&gt;"",IF('Ing statnice jun 2018'!O4&lt;=P$4,"PLD",""),"PLD"),""),""),IF('Ing statnice jun 2018'!V4&lt;&gt;"",IF(P$4&lt;&gt;"",IF('Ing statnice jun 2018'!O4&lt;=P$4,"PLD",""),"PLD"),"")),"")),"")),IF('Ing statnice jun 2018'!V4&lt;&gt;"",IF(N$4=1,IF(LEFT('Ing statnice jun 2018'!V4,1)="1",IF('Ing statnice jun 2018'!V4&lt;&gt;"",IF(O$4&lt;&gt;"",IF('Ing statnice jun 2018'!N4&lt;=O$4,IF('Ing statnice jun 2018'!V4&lt;&gt;"",IF(P$4&lt;&gt;"",IF('Ing statnice jun 2018'!O4&lt;=P$4,"PLD",""),"PLD"),""),""),IF('Ing statnice jun 2018'!V4&lt;&gt;"",IF(P$4&lt;&gt;"",IF('Ing statnice jun 2018'!O4&lt;=P$4,"PLD",""),"PLD"),"")),""),""),IF('Ing statnice jun 2018'!V4&lt;&gt;"",IF(O$4&lt;&gt;"",IF('Ing statnice jun 2018'!N4&lt;=O$4,IF('Ing statnice jun 2018'!V4&lt;&gt;"",IF(P$4&lt;&gt;"",IF('Ing statnice jun 2018'!O4&lt;=P$4,"PLD",""),"PLD"),""),""),IF('Ing statnice jun 2018'!V4&lt;&gt;"",IF(P$4&lt;&gt;"",IF('Ing statnice jun 2018'!O4&lt;=P$4,"PLD",""),"PLD"),"")),"")),"")),"")</f>
        <v>CR</v>
      </c>
      <c r="N9" s="61" t="str">
        <f>IF('Ing statnice jun 2018'!V4&lt;&gt;"",IF(N$4=1,IF(LEFT('Ing statnice jun 2018'!V4,1)="1",IF('Ing statnice jun 2018'!V4&lt;&gt;"",IF(O$4&lt;&gt;"",IF('Ing statnice jun 2018'!N4&lt;=O$4,IF('Ing statnice jun 2018'!V4&lt;&gt;"",IF(P$4&lt;&gt;"",IF('Ing statnice jun 2018'!O4&lt;=P$4,"PLD",""),"PLD"),""),""),IF('Ing statnice jun 2018'!V4&lt;&gt;"",IF(P$4&lt;&gt;"",IF('Ing statnice jun 2018'!O4&lt;=P$4,"PLD",""),"PLD"),"")),""),""),IF('Ing statnice jun 2018'!V4&lt;&gt;"",IF(O$4&lt;&gt;"",IF('Ing statnice jun 2018'!N4&lt;=O$4,IF('Ing statnice jun 2018'!V4&lt;&gt;"",IF(P$4&lt;&gt;"",IF('Ing statnice jun 2018'!O4&lt;=P$4,"PLD",""),"PLD"),""),""),IF('Ing statnice jun 2018'!V4&lt;&gt;"",IF(P$4&lt;&gt;"",IF('Ing statnice jun 2018'!O4&lt;=P$4,"PLD",""),"PLD"),"")),"")),"")</f>
        <v>PLD</v>
      </c>
      <c r="O9" s="61" t="str">
        <f>IF('Ing statnice jun 2018'!V4&lt;&gt;"",IF(O$4&lt;&gt;"",IF('Ing statnice jun 2018'!N4&lt;=O$4,IF('Ing statnice jun 2018'!V4&lt;&gt;"",IF(P$4&lt;&gt;"",IF('Ing statnice jun 2018'!O4&lt;=P$4,"PLD",""),"PLD"),""),""),IF('Ing statnice jun 2018'!V4&lt;&gt;"",IF(P$4&lt;&gt;"",IF('Ing statnice jun 2018'!O4&lt;=P$4,"PLD",""),"PLD"),"")),"")</f>
        <v>PLD</v>
      </c>
      <c r="P9" s="61" t="str">
        <f>IF('Ing statnice jun 2018'!V4&lt;&gt;"",IF(P$4&lt;&gt;"",IF('Ing statnice jun 2018'!O4&lt;=P$4,"PLD",""),"PLD"),"")</f>
        <v>PLD</v>
      </c>
    </row>
  </sheetData>
  <mergeCells count="10">
    <mergeCell ref="B7:Q7"/>
    <mergeCell ref="I2:J2"/>
    <mergeCell ref="M2:M4"/>
    <mergeCell ref="N2:N3"/>
    <mergeCell ref="O2:P2"/>
    <mergeCell ref="A2:A4"/>
    <mergeCell ref="B2:B3"/>
    <mergeCell ref="G2:G4"/>
    <mergeCell ref="H2:H3"/>
    <mergeCell ref="C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8"/>
  <sheetViews>
    <sheetView topLeftCell="G1" zoomScale="130" zoomScaleNormal="130" workbookViewId="0">
      <selection activeCell="V8" sqref="V8"/>
    </sheetView>
  </sheetViews>
  <sheetFormatPr defaultColWidth="9.109375" defaultRowHeight="13.2" x14ac:dyDescent="0.25"/>
  <cols>
    <col min="1" max="22" width="9.109375" style="124"/>
    <col min="23" max="23" width="16.6640625" style="124" customWidth="1"/>
    <col min="24" max="16384" width="9.109375" style="124"/>
  </cols>
  <sheetData>
    <row r="1" spans="1:44" ht="13.8" thickBot="1" x14ac:dyDescent="0.3"/>
    <row r="2" spans="1:44" s="20" customFormat="1" ht="28.5" customHeight="1" thickBot="1" x14ac:dyDescent="0.45">
      <c r="A2" s="296" t="s">
        <v>21</v>
      </c>
      <c r="B2" s="297"/>
      <c r="C2" s="297"/>
      <c r="D2" s="297"/>
      <c r="E2" s="297"/>
      <c r="F2" s="297"/>
      <c r="G2" s="322" t="s">
        <v>22</v>
      </c>
      <c r="H2" s="323"/>
      <c r="I2" s="323"/>
      <c r="J2" s="323"/>
      <c r="K2" s="323"/>
      <c r="L2" s="323"/>
      <c r="M2" s="323"/>
      <c r="N2" s="323"/>
      <c r="O2" s="323"/>
      <c r="P2" s="324"/>
      <c r="Q2" s="325" t="s">
        <v>16</v>
      </c>
      <c r="R2" s="326"/>
      <c r="S2" s="326"/>
      <c r="T2" s="326"/>
      <c r="U2" s="326"/>
      <c r="V2" s="326"/>
      <c r="W2" s="326"/>
      <c r="X2" s="327"/>
      <c r="Y2" s="301" t="s">
        <v>36</v>
      </c>
      <c r="Z2" s="302"/>
      <c r="AA2" s="302"/>
      <c r="AB2" s="302"/>
      <c r="AC2" s="302"/>
      <c r="AD2" s="302"/>
      <c r="AE2" s="302"/>
      <c r="AF2" s="302"/>
      <c r="AH2" s="28"/>
      <c r="AP2" s="18"/>
      <c r="AQ2" s="19"/>
      <c r="AR2" s="19"/>
    </row>
    <row r="3" spans="1:44" s="20" customFormat="1" ht="66.75" customHeight="1" thickBot="1" x14ac:dyDescent="0.3">
      <c r="A3" s="298" t="s">
        <v>20</v>
      </c>
      <c r="B3" s="299"/>
      <c r="C3" s="299"/>
      <c r="D3" s="300"/>
      <c r="E3" s="41" t="s">
        <v>30</v>
      </c>
      <c r="F3" s="42" t="s">
        <v>31</v>
      </c>
      <c r="G3" s="78" t="s">
        <v>77</v>
      </c>
      <c r="H3" s="35" t="s">
        <v>29</v>
      </c>
      <c r="I3" s="36" t="s">
        <v>32</v>
      </c>
      <c r="J3" s="38" t="s">
        <v>33</v>
      </c>
      <c r="K3" s="87" t="s">
        <v>15</v>
      </c>
      <c r="L3" s="88" t="s">
        <v>66</v>
      </c>
      <c r="M3" s="86" t="s">
        <v>67</v>
      </c>
      <c r="N3" s="109" t="s">
        <v>68</v>
      </c>
      <c r="O3" s="110" t="s">
        <v>82</v>
      </c>
      <c r="P3" s="37" t="s">
        <v>34</v>
      </c>
      <c r="Q3" s="315" t="s">
        <v>26</v>
      </c>
      <c r="R3" s="316"/>
      <c r="S3" s="316"/>
      <c r="T3" s="316"/>
      <c r="U3" s="316"/>
      <c r="V3" s="316"/>
      <c r="W3" s="316"/>
      <c r="X3" s="317"/>
      <c r="Y3" s="303"/>
      <c r="Z3" s="304"/>
      <c r="AA3" s="304"/>
      <c r="AB3" s="304"/>
      <c r="AC3" s="304"/>
      <c r="AD3" s="304"/>
      <c r="AE3" s="304"/>
      <c r="AF3" s="304"/>
      <c r="AH3" s="28"/>
      <c r="AP3" s="18"/>
      <c r="AQ3" s="19"/>
      <c r="AR3" s="19"/>
    </row>
    <row r="4" spans="1:44" s="21" customFormat="1" ht="36" customHeight="1" thickBot="1" x14ac:dyDescent="0.3">
      <c r="A4" s="286" t="s">
        <v>471</v>
      </c>
      <c r="B4" s="287"/>
      <c r="C4" s="287"/>
      <c r="D4" s="288"/>
      <c r="E4" s="133">
        <f>COUNTIF('Ing statnice jun 2018'!F:F,A4)</f>
        <v>66</v>
      </c>
      <c r="F4" s="134">
        <f>COUNTIFS('Ing statnice jun 2018'!F:F,A4,'Ing statnice jun 2018'!U:U,"Navrh")</f>
        <v>14</v>
      </c>
      <c r="G4" s="246">
        <f xml:space="preserve"> COUNTIFS('Ing statnice jun 2018'!F:F,A4,'Ing statnice jun 2018'!Y:Y,"CR")</f>
        <v>1</v>
      </c>
      <c r="H4" s="247">
        <f>COUNTIFS('Ing statnice jun 2018'!F:F,A4,'Ing statnice jun 2018'!Y:Y,"CD")</f>
        <v>0</v>
      </c>
      <c r="I4" s="136">
        <f>COUNTIFS('Ing statnice jun 2018'!F:F,A4,'Ing statnice jun 2018'!Y:Y,"UI SAV")</f>
        <v>0</v>
      </c>
      <c r="J4" s="135">
        <f>COUNTIFS('Ing statnice jun 2018'!F:F,A4,'Ing statnice jun 2018'!Y:Y,"IET")</f>
        <v>0</v>
      </c>
      <c r="K4" s="137">
        <f>COUNTIFS('Ing statnice jun 2018'!F:F,A4,'Ing statnice jun 2018'!Y:Y,"PLD")</f>
        <v>8</v>
      </c>
      <c r="L4" s="138">
        <f>COUNTIFS('Ing statnice jun 2018'!F:F,A4,'Ing statnice jun 2018'!AB:AB,"MCL")</f>
        <v>1</v>
      </c>
      <c r="M4" s="139">
        <f>COUNTIFS('Ing statnice jun 2018'!F:F,A4,'Ing statnice jun 2018'!AB:AB,"CL")</f>
        <v>8</v>
      </c>
      <c r="N4" s="111">
        <v>0</v>
      </c>
      <c r="O4" s="112">
        <v>0</v>
      </c>
      <c r="P4" s="136">
        <f>SUM(G4:O4)</f>
        <v>18</v>
      </c>
      <c r="Q4" s="313" t="s">
        <v>24</v>
      </c>
      <c r="R4" s="314"/>
      <c r="S4" s="328" t="s">
        <v>38</v>
      </c>
      <c r="T4" s="329"/>
      <c r="U4" s="143">
        <f>COUNTIF('Ing statnice jun 2018'!AD:AD,"MCL")</f>
        <v>0</v>
      </c>
      <c r="V4" s="143">
        <f>COUNTIF('Ing statnice jun 2018'!F:F,A4)+COUNTIF('Ing statnice jun 2018'!F:F,A5)</f>
        <v>119</v>
      </c>
      <c r="W4" s="144">
        <f>SUM(U4/V4)</f>
        <v>0</v>
      </c>
      <c r="X4" s="25"/>
      <c r="Z4" s="39"/>
      <c r="AH4" s="49"/>
      <c r="AP4" s="18"/>
      <c r="AQ4" s="19"/>
      <c r="AR4" s="19"/>
    </row>
    <row r="5" spans="1:44" s="20" customFormat="1" ht="38.25" customHeight="1" thickBot="1" x14ac:dyDescent="0.3">
      <c r="A5" s="289" t="s">
        <v>470</v>
      </c>
      <c r="B5" s="290"/>
      <c r="C5" s="290"/>
      <c r="D5" s="291"/>
      <c r="E5" s="133">
        <f>COUNTIF('Ing statnice jun 2018'!F:F,A5)</f>
        <v>53</v>
      </c>
      <c r="F5" s="134">
        <f>COUNTIFS('Ing statnice jun 2018'!F:F,A5,'Ing statnice jun 2018'!U:U,"Navrh")</f>
        <v>8</v>
      </c>
      <c r="G5" s="246">
        <f xml:space="preserve"> COUNTIFS('Ing statnice jun 2018'!F:F,A5,'Ing statnice jun 2018'!Y:Y,"CR")</f>
        <v>1</v>
      </c>
      <c r="H5" s="135">
        <f>COUNTIFS('Ing statnice jun 2018'!F:F,A5,'Ing statnice jun 2018'!Y:Y,"CD")</f>
        <v>0</v>
      </c>
      <c r="I5" s="136">
        <f>COUNTIFS('Ing statnice jun 2018'!F:F,A5,'Ing statnice jun 2018'!Y:Y,"UI SAV")</f>
        <v>0</v>
      </c>
      <c r="J5" s="135">
        <f>COUNTIFS('Ing statnice jun 2018'!F:F,A5,'Ing statnice jun 2018'!Y:Y,"IET")</f>
        <v>0</v>
      </c>
      <c r="K5" s="137">
        <f>COUNTIFS('Ing statnice jun 2018'!F:F,A5,'Ing statnice jun 2018'!Y:Y,"PLD")</f>
        <v>7</v>
      </c>
      <c r="L5" s="138">
        <f>COUNTIFS('Ing statnice jun 2018'!F:F,A5,'Ing statnice jun 2018'!AB:AB,"MCL")</f>
        <v>0</v>
      </c>
      <c r="M5" s="140">
        <f>COUNTIFS('Ing statnice jun 2018'!F:F,A5,'Ing statnice jun 2018'!AB:AB,"CL")</f>
        <v>4</v>
      </c>
      <c r="N5" s="111">
        <v>0</v>
      </c>
      <c r="O5" s="113">
        <v>0</v>
      </c>
      <c r="P5" s="136">
        <f>SUM(G5:O5)</f>
        <v>12</v>
      </c>
      <c r="Q5" s="311" t="s">
        <v>37</v>
      </c>
      <c r="R5" s="312"/>
      <c r="S5" s="330" t="s">
        <v>39</v>
      </c>
      <c r="T5" s="331"/>
      <c r="U5" s="143">
        <f>COUNTIF('Ing statnice jun 2018'!AD:AD,"CL")</f>
        <v>0</v>
      </c>
      <c r="V5" s="145">
        <f>COUNTIF('Ing statnice jun 2018'!F:F,A4)+COUNTIF('Ing statnice jun 2018'!F:F,A5)</f>
        <v>119</v>
      </c>
      <c r="W5" s="146">
        <f>SUM(U5/V5)</f>
        <v>0</v>
      </c>
      <c r="X5" s="25"/>
      <c r="Z5" s="18"/>
      <c r="AH5" s="28"/>
      <c r="AP5" s="18"/>
      <c r="AQ5" s="19"/>
      <c r="AR5" s="19"/>
    </row>
    <row r="6" spans="1:44" s="20" customFormat="1" ht="30" customHeight="1" thickBot="1" x14ac:dyDescent="0.3">
      <c r="A6" s="292" t="s">
        <v>23</v>
      </c>
      <c r="B6" s="293"/>
      <c r="C6" s="293"/>
      <c r="D6" s="294"/>
      <c r="E6" s="141">
        <f>SUM(E3:E5)</f>
        <v>119</v>
      </c>
      <c r="F6" s="142">
        <f>SUM(F4:F5)</f>
        <v>22</v>
      </c>
      <c r="G6" s="142">
        <f>SUM(G4:G5)</f>
        <v>2</v>
      </c>
      <c r="H6" s="142">
        <f t="shared" ref="H6:L6" si="0">SUM(H4:H5)</f>
        <v>0</v>
      </c>
      <c r="I6" s="142">
        <f t="shared" si="0"/>
        <v>0</v>
      </c>
      <c r="J6" s="142">
        <f t="shared" si="0"/>
        <v>0</v>
      </c>
      <c r="K6" s="142">
        <f t="shared" si="0"/>
        <v>15</v>
      </c>
      <c r="L6" s="142">
        <f t="shared" si="0"/>
        <v>1</v>
      </c>
      <c r="M6" s="142">
        <f>SUM(M4:M5)</f>
        <v>12</v>
      </c>
      <c r="N6" s="142">
        <f t="shared" ref="N6" si="1">SUM(N4:N5)</f>
        <v>0</v>
      </c>
      <c r="O6" s="142">
        <f t="shared" ref="O6:P6" si="2">SUM(O4:O5)</f>
        <v>0</v>
      </c>
      <c r="P6" s="142">
        <f t="shared" si="2"/>
        <v>30</v>
      </c>
      <c r="Q6" s="305" t="s">
        <v>15</v>
      </c>
      <c r="R6" s="306"/>
      <c r="S6" s="332" t="s">
        <v>17</v>
      </c>
      <c r="T6" s="333"/>
      <c r="U6" s="147">
        <f>COUNTIFS('Ing statnice jun 2018'!F:F,A4,'Ing statnice jun 2018'!AA:AA,"PLD")</f>
        <v>6</v>
      </c>
      <c r="V6" s="147">
        <f>COUNTIF('Ing statnice jun 2018'!F:F,A4)</f>
        <v>66</v>
      </c>
      <c r="W6" s="148">
        <f>SUM(U6/V6)</f>
        <v>9.0909090909090912E-2</v>
      </c>
      <c r="X6" s="25"/>
      <c r="Z6" s="18"/>
      <c r="AH6" s="28"/>
      <c r="AP6" s="18"/>
      <c r="AQ6" s="19"/>
      <c r="AR6" s="19"/>
    </row>
    <row r="7" spans="1:44" s="20" customFormat="1" ht="30" customHeight="1" x14ac:dyDescent="0.25">
      <c r="A7" s="295"/>
      <c r="B7" s="295"/>
      <c r="C7" s="295"/>
      <c r="D7" s="295"/>
      <c r="E7" s="69"/>
      <c r="F7" s="69"/>
      <c r="G7" s="70"/>
      <c r="H7" s="69"/>
      <c r="I7" s="69"/>
      <c r="J7" s="69"/>
      <c r="K7" s="69"/>
      <c r="L7" s="69"/>
      <c r="M7" s="69"/>
      <c r="N7" s="69"/>
      <c r="O7" s="69"/>
      <c r="P7" s="69"/>
      <c r="Q7" s="307"/>
      <c r="R7" s="308"/>
      <c r="S7" s="318" t="s">
        <v>35</v>
      </c>
      <c r="T7" s="319"/>
      <c r="U7" s="147">
        <f>COUNTIFS('Ing statnice jun 2018'!F:F,A5,'Ing statnice jun 2018'!AA:AA,"PLD")</f>
        <v>4</v>
      </c>
      <c r="V7" s="147">
        <f>COUNTIF('Ing statnice jun 2018'!F:F,A5)</f>
        <v>53</v>
      </c>
      <c r="W7" s="149">
        <f>SUM(U7/V7)</f>
        <v>7.5471698113207544E-2</v>
      </c>
      <c r="X7" s="25"/>
      <c r="Z7" s="18"/>
      <c r="AH7" s="28"/>
      <c r="AP7" s="18"/>
      <c r="AQ7" s="19"/>
      <c r="AR7" s="19"/>
    </row>
    <row r="8" spans="1:44" s="28" customFormat="1" ht="39.75" customHeight="1" thickBot="1" x14ac:dyDescent="0.3">
      <c r="A8" s="23"/>
      <c r="B8" s="24"/>
      <c r="C8" s="24"/>
      <c r="D8" s="24"/>
      <c r="E8" s="27"/>
      <c r="F8" s="27"/>
      <c r="G8" s="27"/>
      <c r="H8" s="27"/>
      <c r="I8" s="27"/>
      <c r="J8" s="25" t="s">
        <v>49</v>
      </c>
      <c r="K8" s="27"/>
      <c r="L8" s="27"/>
      <c r="M8" s="27"/>
      <c r="N8" s="27"/>
      <c r="O8" s="27"/>
      <c r="P8" s="27"/>
      <c r="Q8" s="309"/>
      <c r="R8" s="310"/>
      <c r="S8" s="320" t="s">
        <v>65</v>
      </c>
      <c r="T8" s="321"/>
      <c r="U8" s="150">
        <f>SUM(U6:U7)</f>
        <v>10</v>
      </c>
      <c r="V8" s="150">
        <f>SUM(V6:V7)</f>
        <v>119</v>
      </c>
      <c r="W8" s="151">
        <f>SUM(U8/V8)</f>
        <v>8.4033613445378158E-2</v>
      </c>
      <c r="X8" s="71"/>
      <c r="Z8" s="26"/>
      <c r="AP8" s="18"/>
    </row>
  </sheetData>
  <mergeCells count="18">
    <mergeCell ref="G2:P2"/>
    <mergeCell ref="Q2:X2"/>
    <mergeCell ref="S4:T4"/>
    <mergeCell ref="S5:T5"/>
    <mergeCell ref="S6:T6"/>
    <mergeCell ref="Y2:AF3"/>
    <mergeCell ref="Q6:R8"/>
    <mergeCell ref="Q5:R5"/>
    <mergeCell ref="Q4:R4"/>
    <mergeCell ref="Q3:X3"/>
    <mergeCell ref="S7:T7"/>
    <mergeCell ref="S8:T8"/>
    <mergeCell ref="A4:D4"/>
    <mergeCell ref="A5:D5"/>
    <mergeCell ref="A6:D6"/>
    <mergeCell ref="A7:D7"/>
    <mergeCell ref="A2:F2"/>
    <mergeCell ref="A3:D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6"/>
  <sheetViews>
    <sheetView topLeftCell="B1" zoomScale="115" zoomScaleNormal="115" workbookViewId="0">
      <selection activeCell="B19" sqref="B19:B26"/>
    </sheetView>
  </sheetViews>
  <sheetFormatPr defaultRowHeight="13.2" x14ac:dyDescent="0.25"/>
  <cols>
    <col min="1" max="1" width="28.6640625" style="80" hidden="1" customWidth="1"/>
    <col min="2" max="2" width="101.5546875" customWidth="1"/>
  </cols>
  <sheetData>
    <row r="1" spans="1:32" ht="26.4" x14ac:dyDescent="0.25">
      <c r="A1" s="156" t="s">
        <v>8</v>
      </c>
      <c r="B1" s="157" t="s">
        <v>505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</row>
    <row r="2" spans="1:32" ht="13.2" customHeight="1" x14ac:dyDescent="0.25">
      <c r="A2" t="s">
        <v>97</v>
      </c>
      <c r="B2" s="157" t="s">
        <v>506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</row>
    <row r="3" spans="1:32" ht="13.2" customHeight="1" x14ac:dyDescent="0.25">
      <c r="A3" t="s">
        <v>98</v>
      </c>
      <c r="B3" s="157" t="s">
        <v>507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</row>
    <row r="4" spans="1:32" ht="13.2" customHeight="1" x14ac:dyDescent="0.25">
      <c r="A4" t="s">
        <v>99</v>
      </c>
      <c r="B4" s="157" t="s">
        <v>508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</row>
    <row r="5" spans="1:32" ht="13.2" customHeight="1" x14ac:dyDescent="0.25">
      <c r="A5" t="s">
        <v>100</v>
      </c>
      <c r="B5" s="157" t="s">
        <v>509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</row>
    <row r="6" spans="1:32" ht="13.2" customHeight="1" x14ac:dyDescent="0.25">
      <c r="A6" t="s">
        <v>101</v>
      </c>
      <c r="B6" s="157" t="s">
        <v>510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</row>
    <row r="7" spans="1:32" ht="26.4" x14ac:dyDescent="0.25">
      <c r="A7" t="s">
        <v>102</v>
      </c>
      <c r="B7" s="215" t="s">
        <v>511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</row>
    <row r="8" spans="1:32" ht="13.2" customHeight="1" x14ac:dyDescent="0.25">
      <c r="A8" t="s">
        <v>103</v>
      </c>
      <c r="B8" s="215" t="s">
        <v>512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</row>
    <row r="9" spans="1:32" ht="26.4" x14ac:dyDescent="0.25">
      <c r="A9" t="s">
        <v>104</v>
      </c>
      <c r="B9" s="215" t="s">
        <v>513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</row>
    <row r="10" spans="1:32" ht="13.2" customHeight="1" x14ac:dyDescent="0.3">
      <c r="A10" t="s">
        <v>105</v>
      </c>
      <c r="B10" s="158" t="s">
        <v>514</v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</row>
    <row r="11" spans="1:32" ht="13.35" customHeight="1" x14ac:dyDescent="0.25">
      <c r="A11" t="s">
        <v>106</v>
      </c>
      <c r="B11" s="215" t="s">
        <v>515</v>
      </c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</row>
    <row r="12" spans="1:32" ht="13.35" customHeight="1" x14ac:dyDescent="0.25">
      <c r="A12" t="s">
        <v>107</v>
      </c>
      <c r="B12" s="215" t="s">
        <v>516</v>
      </c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</row>
    <row r="13" spans="1:32" ht="13.35" customHeight="1" x14ac:dyDescent="0.25">
      <c r="A13" t="s">
        <v>108</v>
      </c>
      <c r="B13" s="215" t="s">
        <v>517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</row>
    <row r="14" spans="1:32" ht="13.35" customHeight="1" x14ac:dyDescent="0.25">
      <c r="A14" t="s">
        <v>109</v>
      </c>
      <c r="B14" s="215" t="s">
        <v>518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</row>
    <row r="15" spans="1:32" ht="13.35" customHeight="1" x14ac:dyDescent="0.25">
      <c r="A15" t="s">
        <v>110</v>
      </c>
      <c r="B15" s="215" t="s">
        <v>519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</row>
    <row r="16" spans="1:32" ht="13.2" customHeight="1" x14ac:dyDescent="0.25">
      <c r="A16" t="s">
        <v>111</v>
      </c>
      <c r="B16" s="215" t="s">
        <v>520</v>
      </c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</row>
    <row r="17" spans="1:32" ht="13.2" customHeight="1" x14ac:dyDescent="0.25">
      <c r="A17" t="s">
        <v>112</v>
      </c>
      <c r="B17" s="15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</row>
    <row r="18" spans="1:32" ht="13.2" customHeight="1" x14ac:dyDescent="0.25">
      <c r="A18" s="66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</row>
    <row r="19" spans="1:32" ht="13.2" customHeight="1" x14ac:dyDescent="0.25">
      <c r="A19" s="66"/>
      <c r="B19" s="259" t="s">
        <v>541</v>
      </c>
      <c r="C19">
        <v>4</v>
      </c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</row>
    <row r="20" spans="1:32" x14ac:dyDescent="0.25">
      <c r="B20" s="259" t="s">
        <v>542</v>
      </c>
      <c r="C20">
        <v>3</v>
      </c>
    </row>
    <row r="21" spans="1:32" x14ac:dyDescent="0.25">
      <c r="B21" s="259" t="s">
        <v>543</v>
      </c>
      <c r="C21">
        <v>3</v>
      </c>
    </row>
    <row r="22" spans="1:32" x14ac:dyDescent="0.25">
      <c r="B22" s="259" t="s">
        <v>544</v>
      </c>
      <c r="C22">
        <v>3</v>
      </c>
    </row>
    <row r="23" spans="1:32" x14ac:dyDescent="0.25">
      <c r="B23" s="259" t="s">
        <v>545</v>
      </c>
      <c r="C23">
        <v>2</v>
      </c>
    </row>
    <row r="24" spans="1:32" x14ac:dyDescent="0.25">
      <c r="B24" s="259" t="s">
        <v>547</v>
      </c>
      <c r="C24">
        <v>1</v>
      </c>
    </row>
    <row r="25" spans="1:32" x14ac:dyDescent="0.25">
      <c r="B25" s="259" t="s">
        <v>546</v>
      </c>
      <c r="C25">
        <v>1</v>
      </c>
    </row>
    <row r="26" spans="1:32" x14ac:dyDescent="0.25">
      <c r="B26" s="259" t="s">
        <v>540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6"/>
  <sheetViews>
    <sheetView zoomScale="115" zoomScaleNormal="115" workbookViewId="0">
      <selection activeCell="B2" sqref="B2:C9"/>
    </sheetView>
  </sheetViews>
  <sheetFormatPr defaultRowHeight="13.2" x14ac:dyDescent="0.25"/>
  <cols>
    <col min="1" max="1" width="11.5546875" bestFit="1" customWidth="1"/>
    <col min="2" max="5" width="11.5546875" customWidth="1"/>
  </cols>
  <sheetData>
    <row r="1" spans="1:9" x14ac:dyDescent="0.25">
      <c r="B1">
        <v>2018</v>
      </c>
      <c r="D1" s="201">
        <v>2017</v>
      </c>
      <c r="F1">
        <v>2016</v>
      </c>
      <c r="H1">
        <v>2015</v>
      </c>
    </row>
    <row r="2" spans="1:9" x14ac:dyDescent="0.25">
      <c r="A2" t="s">
        <v>62</v>
      </c>
      <c r="B2">
        <f>COUNTIF('Ing statnice jun 2018'!O:O,A2)</f>
        <v>32</v>
      </c>
      <c r="C2" s="261">
        <f>B2/B$10</f>
        <v>0.23880597014925373</v>
      </c>
      <c r="D2" s="201">
        <v>37</v>
      </c>
      <c r="E2" s="243">
        <f t="shared" ref="E2:E9" si="0">D2/D$10</f>
        <v>0.27007299270072993</v>
      </c>
      <c r="F2">
        <v>39</v>
      </c>
      <c r="G2" s="72">
        <f>F2/F$10</f>
        <v>0.25827814569536423</v>
      </c>
      <c r="H2">
        <v>24</v>
      </c>
      <c r="I2" s="72">
        <f>H2/H$10</f>
        <v>0.22641509433962265</v>
      </c>
    </row>
    <row r="3" spans="1:9" x14ac:dyDescent="0.25">
      <c r="A3" t="s">
        <v>60</v>
      </c>
      <c r="B3">
        <f>COUNTIF('Ing statnice jun 2018'!O:O,A3)</f>
        <v>29</v>
      </c>
      <c r="C3" s="261">
        <f t="shared" ref="C3:C9" si="1">B3/B$10</f>
        <v>0.21641791044776118</v>
      </c>
      <c r="D3" s="201">
        <v>34</v>
      </c>
      <c r="E3" s="243">
        <f t="shared" si="0"/>
        <v>0.24817518248175183</v>
      </c>
      <c r="F3">
        <v>33</v>
      </c>
      <c r="G3" s="72">
        <f t="shared" ref="G3:G9" si="2">F3/F$10</f>
        <v>0.2185430463576159</v>
      </c>
      <c r="H3">
        <v>24</v>
      </c>
      <c r="I3" s="72">
        <f t="shared" ref="I3:I8" si="3">H3/H$10</f>
        <v>0.22641509433962265</v>
      </c>
    </row>
    <row r="4" spans="1:9" x14ac:dyDescent="0.25">
      <c r="A4" t="s">
        <v>59</v>
      </c>
      <c r="B4">
        <f>COUNTIF('Ing statnice jun 2018'!O:O,A4)</f>
        <v>25</v>
      </c>
      <c r="C4" s="261">
        <f t="shared" si="1"/>
        <v>0.18656716417910449</v>
      </c>
      <c r="D4" s="201">
        <v>30</v>
      </c>
      <c r="E4" s="243">
        <f t="shared" si="0"/>
        <v>0.21897810218978103</v>
      </c>
      <c r="F4">
        <v>34</v>
      </c>
      <c r="G4" s="72">
        <f t="shared" si="2"/>
        <v>0.2251655629139073</v>
      </c>
      <c r="H4">
        <v>26</v>
      </c>
      <c r="I4" s="72">
        <f t="shared" si="3"/>
        <v>0.24528301886792453</v>
      </c>
    </row>
    <row r="5" spans="1:9" x14ac:dyDescent="0.25">
      <c r="A5" t="s">
        <v>27</v>
      </c>
      <c r="B5">
        <f>COUNTIF('Ing statnice jun 2018'!O:O,A5)</f>
        <v>14</v>
      </c>
      <c r="C5" s="261">
        <f t="shared" si="1"/>
        <v>0.1044776119402985</v>
      </c>
      <c r="D5" s="201">
        <v>15</v>
      </c>
      <c r="E5" s="243">
        <f t="shared" si="0"/>
        <v>0.10948905109489052</v>
      </c>
      <c r="F5">
        <v>15</v>
      </c>
      <c r="G5" s="72">
        <f t="shared" si="2"/>
        <v>9.9337748344370855E-2</v>
      </c>
      <c r="H5">
        <v>11</v>
      </c>
      <c r="I5" s="72">
        <f t="shared" si="3"/>
        <v>0.10377358490566038</v>
      </c>
    </row>
    <row r="6" spans="1:9" x14ac:dyDescent="0.25">
      <c r="A6" t="s">
        <v>25</v>
      </c>
      <c r="B6">
        <f>COUNTIF('Ing statnice jun 2018'!O:O,A6)</f>
        <v>14</v>
      </c>
      <c r="C6" s="261">
        <f t="shared" si="1"/>
        <v>0.1044776119402985</v>
      </c>
      <c r="D6" s="201">
        <v>9</v>
      </c>
      <c r="E6" s="243">
        <f t="shared" si="0"/>
        <v>6.569343065693431E-2</v>
      </c>
      <c r="F6">
        <v>14</v>
      </c>
      <c r="G6" s="72">
        <f t="shared" si="2"/>
        <v>9.2715231788079472E-2</v>
      </c>
      <c r="H6">
        <v>16</v>
      </c>
      <c r="I6" s="72">
        <f t="shared" si="3"/>
        <v>0.15094339622641509</v>
      </c>
    </row>
    <row r="7" spans="1:9" x14ac:dyDescent="0.25">
      <c r="A7" t="s">
        <v>61</v>
      </c>
      <c r="B7">
        <f>COUNTIF('Ing statnice jun 2018'!O:O,A7)</f>
        <v>5</v>
      </c>
      <c r="C7" s="261">
        <f t="shared" si="1"/>
        <v>3.7313432835820892E-2</v>
      </c>
      <c r="D7" s="201">
        <v>1</v>
      </c>
      <c r="E7" s="243">
        <f t="shared" si="0"/>
        <v>7.2992700729927005E-3</v>
      </c>
      <c r="F7">
        <v>6</v>
      </c>
      <c r="G7" s="72">
        <f t="shared" si="2"/>
        <v>3.9735099337748346E-2</v>
      </c>
      <c r="H7">
        <v>5</v>
      </c>
      <c r="I7" s="72">
        <f t="shared" si="3"/>
        <v>4.716981132075472E-2</v>
      </c>
    </row>
    <row r="8" spans="1:9" x14ac:dyDescent="0.25">
      <c r="A8" t="s">
        <v>63</v>
      </c>
      <c r="B8">
        <f>COUNTIF('Ing statnice jun 2018'!O:O,A8)</f>
        <v>0</v>
      </c>
      <c r="C8" s="261">
        <f t="shared" si="1"/>
        <v>0</v>
      </c>
      <c r="D8" s="201">
        <v>3</v>
      </c>
      <c r="E8" s="243">
        <f t="shared" si="0"/>
        <v>2.1897810218978103E-2</v>
      </c>
      <c r="F8">
        <v>1</v>
      </c>
      <c r="G8" s="72">
        <f t="shared" si="2"/>
        <v>6.6225165562913907E-3</v>
      </c>
      <c r="H8">
        <v>0</v>
      </c>
      <c r="I8" s="72">
        <f t="shared" si="3"/>
        <v>0</v>
      </c>
    </row>
    <row r="9" spans="1:9" x14ac:dyDescent="0.25">
      <c r="A9" t="s">
        <v>113</v>
      </c>
      <c r="B9">
        <v>15</v>
      </c>
      <c r="C9" s="261">
        <f t="shared" si="1"/>
        <v>0.11194029850746269</v>
      </c>
      <c r="D9" s="258">
        <v>8</v>
      </c>
      <c r="E9" s="243">
        <f t="shared" si="0"/>
        <v>5.8394160583941604E-2</v>
      </c>
      <c r="F9">
        <v>9</v>
      </c>
      <c r="G9" s="72">
        <f t="shared" si="2"/>
        <v>5.9602649006622516E-2</v>
      </c>
      <c r="H9" t="s">
        <v>114</v>
      </c>
      <c r="I9" s="72" t="s">
        <v>114</v>
      </c>
    </row>
    <row r="10" spans="1:9" x14ac:dyDescent="0.25">
      <c r="B10">
        <f>SUM(B2:B9)</f>
        <v>134</v>
      </c>
      <c r="D10" s="201">
        <f>SUM(D2:D9)</f>
        <v>137</v>
      </c>
      <c r="E10" s="218"/>
      <c r="F10">
        <f>SUM(F2:F9)</f>
        <v>151</v>
      </c>
      <c r="H10">
        <v>106</v>
      </c>
    </row>
    <row r="12" spans="1:9" x14ac:dyDescent="0.25">
      <c r="D12" s="259" t="s">
        <v>530</v>
      </c>
    </row>
    <row r="13" spans="1:9" x14ac:dyDescent="0.25">
      <c r="D13" s="259" t="s">
        <v>531</v>
      </c>
    </row>
    <row r="14" spans="1:9" x14ac:dyDescent="0.25">
      <c r="D14" s="259" t="s">
        <v>532</v>
      </c>
    </row>
    <row r="58" spans="6:7" x14ac:dyDescent="0.25">
      <c r="F58">
        <v>2015</v>
      </c>
    </row>
    <row r="59" spans="6:7" x14ac:dyDescent="0.25">
      <c r="F59">
        <v>24</v>
      </c>
      <c r="G59" s="72">
        <f t="shared" ref="G59:G65" si="4">F59/F$66</f>
        <v>0.22641509433962265</v>
      </c>
    </row>
    <row r="60" spans="6:7" x14ac:dyDescent="0.25">
      <c r="F60">
        <v>24</v>
      </c>
      <c r="G60" s="72">
        <f t="shared" si="4"/>
        <v>0.22641509433962265</v>
      </c>
    </row>
    <row r="61" spans="6:7" x14ac:dyDescent="0.25">
      <c r="F61">
        <v>26</v>
      </c>
      <c r="G61" s="72">
        <f t="shared" si="4"/>
        <v>0.24528301886792453</v>
      </c>
    </row>
    <row r="62" spans="6:7" x14ac:dyDescent="0.25">
      <c r="F62">
        <v>11</v>
      </c>
      <c r="G62" s="72">
        <f t="shared" si="4"/>
        <v>0.10377358490566038</v>
      </c>
    </row>
    <row r="63" spans="6:7" x14ac:dyDescent="0.25">
      <c r="F63">
        <v>16</v>
      </c>
      <c r="G63" s="72">
        <f t="shared" si="4"/>
        <v>0.15094339622641509</v>
      </c>
    </row>
    <row r="64" spans="6:7" x14ac:dyDescent="0.25">
      <c r="F64">
        <v>5</v>
      </c>
      <c r="G64" s="72">
        <f t="shared" si="4"/>
        <v>4.716981132075472E-2</v>
      </c>
    </row>
    <row r="65" spans="6:7" x14ac:dyDescent="0.25">
      <c r="F65">
        <v>0</v>
      </c>
      <c r="G65" s="72">
        <f t="shared" si="4"/>
        <v>0</v>
      </c>
    </row>
    <row r="66" spans="6:7" x14ac:dyDescent="0.25">
      <c r="F66">
        <f>SUM(F59:F65)</f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5</vt:i4>
      </vt:variant>
    </vt:vector>
  </HeadingPairs>
  <TitlesOfParts>
    <vt:vector size="5" baseType="lpstr">
      <vt:lpstr>Ing statnice jun 2018</vt:lpstr>
      <vt:lpstr>Parametre_2018</vt:lpstr>
      <vt:lpstr>Ing statnice jun 2018 zaver</vt:lpstr>
      <vt:lpstr>Ing statnice jun 2018 komisie </vt:lpstr>
      <vt:lpstr>Obhajoba - sumár</vt:lpstr>
    </vt:vector>
  </TitlesOfParts>
  <Company>kivt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saska</dc:creator>
  <cp:lastModifiedBy>peter pistek</cp:lastModifiedBy>
  <cp:lastPrinted>2016-07-19T13:41:26Z</cp:lastPrinted>
  <dcterms:created xsi:type="dcterms:W3CDTF">1999-11-30T18:18:38Z</dcterms:created>
  <dcterms:modified xsi:type="dcterms:W3CDTF">2018-11-12T11:21:21Z</dcterms:modified>
</cp:coreProperties>
</file>